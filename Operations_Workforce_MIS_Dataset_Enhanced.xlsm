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C:\Users\hp\Downloads\"/>
    </mc:Choice>
  </mc:AlternateContent>
  <xr:revisionPtr revIDLastSave="0" documentId="13_ncr:1_{3734D015-0AE9-4A8F-8A00-9D23C2C83998}" xr6:coauthVersionLast="47" xr6:coauthVersionMax="47" xr10:uidLastSave="{00000000-0000-0000-0000-000000000000}"/>
  <bookViews>
    <workbookView xWindow="-108" yWindow="-108" windowWidth="23256" windowHeight="12456" xr2:uid="{00000000-000D-0000-FFFF-FFFF00000000}"/>
  </bookViews>
  <sheets>
    <sheet name="Dashboard" sheetId="5" r:id="rId1"/>
    <sheet name="Pivot_Analysis" sheetId="4" r:id="rId2"/>
    <sheet name="Sheet2" sheetId="6" r:id="rId3"/>
    <sheet name="Raw_Data" sheetId="1" r:id="rId4"/>
  </sheets>
  <definedNames>
    <definedName name="_xlcn.WorksheetConnection_Operations_Workforce_MIS_Dataset_Enhanced.xlsxWorkforce_Data1" hidden="1">Workforce_Data[]</definedName>
    <definedName name="Slicer_Department">#N/A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s>
  <extLst>
    <ext xmlns:x14="http://schemas.microsoft.com/office/spreadsheetml/2009/9/main" uri="{876F7934-8845-4945-9796-88D515C7AA90}">
      <x14:pivotCaches>
        <pivotCache cacheId="8" r:id="rId13"/>
      </x14:pivotCaches>
    </ex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Workforce_Data" name="Workforce_Data" connection="WorksheetConnection_Operations_Workforce_MIS_Dataset_Enhanced.xlsx!Workforce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 i="5" l="1"/>
  <c r="Q8" i="5"/>
  <c r="L8" i="5"/>
  <c r="G8" i="5"/>
  <c r="B8" i="5"/>
  <c r="J50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DAD4B8-F3C4-4C82-9F16-165E6D9BBC2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3EA6E3C-1FA6-431A-A97C-3E1D2BDB9F18}" name="WorksheetConnection_Operations_Workforce_MIS_Dataset_Enhanced.xlsx!Workforce_Data" type="102" refreshedVersion="8" minRefreshableVersion="5">
    <extLst>
      <ext xmlns:x15="http://schemas.microsoft.com/office/spreadsheetml/2010/11/main" uri="{DE250136-89BD-433C-8126-D09CA5730AF9}">
        <x15:connection id="Workforce_Data" autoDelete="1">
          <x15:rangePr sourceName="_xlcn.WorksheetConnection_Operations_Workforce_MIS_Dataset_Enhanced.xlsxWorkforce_Data1"/>
        </x15:connection>
      </ext>
    </extLst>
  </connection>
</connections>
</file>

<file path=xl/sharedStrings.xml><?xml version="1.0" encoding="utf-8"?>
<sst xmlns="http://schemas.openxmlformats.org/spreadsheetml/2006/main" count="5103" uniqueCount="767">
  <si>
    <t>Employee ID</t>
  </si>
  <si>
    <t>Employee Name</t>
  </si>
  <si>
    <t>Gender</t>
  </si>
  <si>
    <t>Employment Type</t>
  </si>
  <si>
    <t>Department</t>
  </si>
  <si>
    <t>Team Lead</t>
  </si>
  <si>
    <t>Location</t>
  </si>
  <si>
    <t>Shift</t>
  </si>
  <si>
    <t>Month</t>
  </si>
  <si>
    <t>Attendance %</t>
  </si>
  <si>
    <t>Leaves Taken</t>
  </si>
  <si>
    <t>Overtime Hours</t>
  </si>
  <si>
    <t>Tasks Assigned</t>
  </si>
  <si>
    <t>Tasks Completed</t>
  </si>
  <si>
    <t>Productivity %</t>
  </si>
  <si>
    <t>Quality Score</t>
  </si>
  <si>
    <t>Target Achievement %</t>
  </si>
  <si>
    <t>CSAT</t>
  </si>
  <si>
    <t>AHT (mins)</t>
  </si>
  <si>
    <t>SLA Met</t>
  </si>
  <si>
    <t>Escalations</t>
  </si>
  <si>
    <t>Training Hours</t>
  </si>
  <si>
    <t>EMP1001</t>
  </si>
  <si>
    <t>Rohan Sharma</t>
  </si>
  <si>
    <t>Male</t>
  </si>
  <si>
    <t>Contract</t>
  </si>
  <si>
    <t>Finance</t>
  </si>
  <si>
    <t>N. Verma</t>
  </si>
  <si>
    <t>Gurgaon</t>
  </si>
  <si>
    <t>Morning</t>
  </si>
  <si>
    <t>Aug</t>
  </si>
  <si>
    <t>No</t>
  </si>
  <si>
    <t>EMP1002</t>
  </si>
  <si>
    <t>Aarav Joshi</t>
  </si>
  <si>
    <t>HR</t>
  </si>
  <si>
    <t>M. Patel</t>
  </si>
  <si>
    <t>Noida</t>
  </si>
  <si>
    <t>Feb</t>
  </si>
  <si>
    <t>EMP1003</t>
  </si>
  <si>
    <t>Karan Kumar</t>
  </si>
  <si>
    <t>Female</t>
  </si>
  <si>
    <t>Operations</t>
  </si>
  <si>
    <t>S. Khan</t>
  </si>
  <si>
    <t>Bangalore</t>
  </si>
  <si>
    <t>Evening</t>
  </si>
  <si>
    <t>Jul</t>
  </si>
  <si>
    <t>Yes</t>
  </si>
  <si>
    <t>EMP1004</t>
  </si>
  <si>
    <t>Yash Kumar</t>
  </si>
  <si>
    <t>Full-time</t>
  </si>
  <si>
    <t>Quality</t>
  </si>
  <si>
    <t>Mar</t>
  </si>
  <si>
    <t>EMP1005</t>
  </si>
  <si>
    <t>Nisha Mehta</t>
  </si>
  <si>
    <t>R. Gupta</t>
  </si>
  <si>
    <t>Pune</t>
  </si>
  <si>
    <t>Night</t>
  </si>
  <si>
    <t>Nov</t>
  </si>
  <si>
    <t>EMP1006</t>
  </si>
  <si>
    <t>Aarav Singh</t>
  </si>
  <si>
    <t>Oct</t>
  </si>
  <si>
    <t>EMP1007</t>
  </si>
  <si>
    <t>Pooja Kumar</t>
  </si>
  <si>
    <t>Delhi</t>
  </si>
  <si>
    <t>Jan</t>
  </si>
  <si>
    <t>EMP1008</t>
  </si>
  <si>
    <t>Riya Singh</t>
  </si>
  <si>
    <t>IT</t>
  </si>
  <si>
    <t>Dec</t>
  </si>
  <si>
    <t>EMP1009</t>
  </si>
  <si>
    <t>Priya Verma</t>
  </si>
  <si>
    <t>Customer Support</t>
  </si>
  <si>
    <t>A. Sharma</t>
  </si>
  <si>
    <t>Sep</t>
  </si>
  <si>
    <t>EMP1010</t>
  </si>
  <si>
    <t>Neha Patel</t>
  </si>
  <si>
    <t>Hyderabad</t>
  </si>
  <si>
    <t>EMP1011</t>
  </si>
  <si>
    <t>Aditi Reddy</t>
  </si>
  <si>
    <t>Jun</t>
  </si>
  <si>
    <t>EMP1012</t>
  </si>
  <si>
    <t>Nisha Kumar</t>
  </si>
  <si>
    <t>Apr</t>
  </si>
  <si>
    <t>EMP1013</t>
  </si>
  <si>
    <t>Yash Patel</t>
  </si>
  <si>
    <t>EMP1014</t>
  </si>
  <si>
    <t>Riya Joshi</t>
  </si>
  <si>
    <t>EMP1015</t>
  </si>
  <si>
    <t>Aarav Sharma</t>
  </si>
  <si>
    <t>EMP1016</t>
  </si>
  <si>
    <t>Sneha Kumar</t>
  </si>
  <si>
    <t>P. Singh</t>
  </si>
  <si>
    <t>May</t>
  </si>
  <si>
    <t>EMP1017</t>
  </si>
  <si>
    <t>Kabir Verma</t>
  </si>
  <si>
    <t>EMP1018</t>
  </si>
  <si>
    <t>Arjun Reddy</t>
  </si>
  <si>
    <t>EMP1019</t>
  </si>
  <si>
    <t>Karan Reddy</t>
  </si>
  <si>
    <t>EMP1020</t>
  </si>
  <si>
    <t>Neha Nair</t>
  </si>
  <si>
    <t>EMP1021</t>
  </si>
  <si>
    <t>Rahul Joshi</t>
  </si>
  <si>
    <t>EMP1022</t>
  </si>
  <si>
    <t>Meera Nair</t>
  </si>
  <si>
    <t>EMP1023</t>
  </si>
  <si>
    <t>Rahul Kumar</t>
  </si>
  <si>
    <t>EMP1024</t>
  </si>
  <si>
    <t>Neha Verma</t>
  </si>
  <si>
    <t>EMP1025</t>
  </si>
  <si>
    <t>EMP1026</t>
  </si>
  <si>
    <t>Ananya Nair</t>
  </si>
  <si>
    <t>EMP1027</t>
  </si>
  <si>
    <t>Aarav Reddy</t>
  </si>
  <si>
    <t>EMP1028</t>
  </si>
  <si>
    <t>Aditya Joshi</t>
  </si>
  <si>
    <t>EMP1029</t>
  </si>
  <si>
    <t>Aditi Mehta</t>
  </si>
  <si>
    <t>EMP1030</t>
  </si>
  <si>
    <t>Aditi Gupta</t>
  </si>
  <si>
    <t>EMP1031</t>
  </si>
  <si>
    <t>Pooja Verma</t>
  </si>
  <si>
    <t>EMP1032</t>
  </si>
  <si>
    <t>Dev Patel</t>
  </si>
  <si>
    <t>EMP1033</t>
  </si>
  <si>
    <t>EMP1034</t>
  </si>
  <si>
    <t>Meera Singh</t>
  </si>
  <si>
    <t>EMP1035</t>
  </si>
  <si>
    <t>Karan Joshi</t>
  </si>
  <si>
    <t>EMP1036</t>
  </si>
  <si>
    <t>Yash Mehta</t>
  </si>
  <si>
    <t>EMP1037</t>
  </si>
  <si>
    <t>Ananya Sharma</t>
  </si>
  <si>
    <t>EMP1038</t>
  </si>
  <si>
    <t>Pooja Patel</t>
  </si>
  <si>
    <t>EMP1039</t>
  </si>
  <si>
    <t>Riya Mehta</t>
  </si>
  <si>
    <t>EMP1040</t>
  </si>
  <si>
    <t>Meera Verma</t>
  </si>
  <si>
    <t>EMP1041</t>
  </si>
  <si>
    <t>Riya Sharma</t>
  </si>
  <si>
    <t>EMP1042</t>
  </si>
  <si>
    <t>EMP1043</t>
  </si>
  <si>
    <t>Aditi Patel</t>
  </si>
  <si>
    <t>EMP1044</t>
  </si>
  <si>
    <t>Nisha Sharma</t>
  </si>
  <si>
    <t>EMP1045</t>
  </si>
  <si>
    <t>Pooja Singh</t>
  </si>
  <si>
    <t>EMP1046</t>
  </si>
  <si>
    <t>EMP1047</t>
  </si>
  <si>
    <t>Neha Singh</t>
  </si>
  <si>
    <t>EMP1048</t>
  </si>
  <si>
    <t>Priya Mehta</t>
  </si>
  <si>
    <t>EMP1049</t>
  </si>
  <si>
    <t>Priya Reddy</t>
  </si>
  <si>
    <t>EMP1050</t>
  </si>
  <si>
    <t>Aditi Nair</t>
  </si>
  <si>
    <t>EMP1051</t>
  </si>
  <si>
    <t>Aditya Gupta</t>
  </si>
  <si>
    <t>EMP1052</t>
  </si>
  <si>
    <t>Nisha Gupta</t>
  </si>
  <si>
    <t>EMP1053</t>
  </si>
  <si>
    <t>Sneha Patel</t>
  </si>
  <si>
    <t>EMP1054</t>
  </si>
  <si>
    <t>Rahul Gupta</t>
  </si>
  <si>
    <t>EMP1055</t>
  </si>
  <si>
    <t>Yash Verma</t>
  </si>
  <si>
    <t>EMP1056</t>
  </si>
  <si>
    <t>EMP1057</t>
  </si>
  <si>
    <t>Aarav Nair</t>
  </si>
  <si>
    <t>EMP1058</t>
  </si>
  <si>
    <t>Pooja Joshi</t>
  </si>
  <si>
    <t>EMP1059</t>
  </si>
  <si>
    <t>Rohan Kumar</t>
  </si>
  <si>
    <t>EMP1060</t>
  </si>
  <si>
    <t>Isha Singh</t>
  </si>
  <si>
    <t>EMP1061</t>
  </si>
  <si>
    <t>EMP1062</t>
  </si>
  <si>
    <t>Meera Patel</t>
  </si>
  <si>
    <t>EMP1063</t>
  </si>
  <si>
    <t>Rohan Joshi</t>
  </si>
  <si>
    <t>EMP1064</t>
  </si>
  <si>
    <t>EMP1065</t>
  </si>
  <si>
    <t>EMP1066</t>
  </si>
  <si>
    <t>EMP1067</t>
  </si>
  <si>
    <t>Sneha Reddy</t>
  </si>
  <si>
    <t>EMP1068</t>
  </si>
  <si>
    <t>Ananya Gupta</t>
  </si>
  <si>
    <t>EMP1069</t>
  </si>
  <si>
    <t>EMP1070</t>
  </si>
  <si>
    <t>Nisha Patel</t>
  </si>
  <si>
    <t>EMP1071</t>
  </si>
  <si>
    <t>Vivaan Verma</t>
  </si>
  <si>
    <t>EMP1072</t>
  </si>
  <si>
    <t>EMP1073</t>
  </si>
  <si>
    <t>Nisha Verma</t>
  </si>
  <si>
    <t>EMP1074</t>
  </si>
  <si>
    <t>EMP1075</t>
  </si>
  <si>
    <t>Meera Sharma</t>
  </si>
  <si>
    <t>EMP1076</t>
  </si>
  <si>
    <t>EMP1077</t>
  </si>
  <si>
    <t>EMP1078</t>
  </si>
  <si>
    <t>Arjun Joshi</t>
  </si>
  <si>
    <t>EMP1079</t>
  </si>
  <si>
    <t>Rahul Verma</t>
  </si>
  <si>
    <t>EMP1080</t>
  </si>
  <si>
    <t>Neha Kumar</t>
  </si>
  <si>
    <t>EMP1081</t>
  </si>
  <si>
    <t>Rohan Nair</t>
  </si>
  <si>
    <t>EMP1082</t>
  </si>
  <si>
    <t>Kabir Patel</t>
  </si>
  <si>
    <t>EMP1083</t>
  </si>
  <si>
    <t>Meera Kumar</t>
  </si>
  <si>
    <t>EMP1084</t>
  </si>
  <si>
    <t>EMP1085</t>
  </si>
  <si>
    <t>Rahul Singh</t>
  </si>
  <si>
    <t>EMP1086</t>
  </si>
  <si>
    <t>EMP1087</t>
  </si>
  <si>
    <t>EMP1088</t>
  </si>
  <si>
    <t>Rohan Mehta</t>
  </si>
  <si>
    <t>EMP1089</t>
  </si>
  <si>
    <t>Priya Gupta</t>
  </si>
  <si>
    <t>EMP1090</t>
  </si>
  <si>
    <t>EMP1091</t>
  </si>
  <si>
    <t>Priya Kumar</t>
  </si>
  <si>
    <t>EMP1092</t>
  </si>
  <si>
    <t>Isha Gupta</t>
  </si>
  <si>
    <t>EMP1093</t>
  </si>
  <si>
    <t>Yash Sharma</t>
  </si>
  <si>
    <t>EMP1094</t>
  </si>
  <si>
    <t>Nisha Singh</t>
  </si>
  <si>
    <t>EMP1095</t>
  </si>
  <si>
    <t>Arjun Kumar</t>
  </si>
  <si>
    <t>EMP1096</t>
  </si>
  <si>
    <t>Ananya Patel</t>
  </si>
  <si>
    <t>EMP1097</t>
  </si>
  <si>
    <t>EMP1098</t>
  </si>
  <si>
    <t>Nisha Nair</t>
  </si>
  <si>
    <t>EMP1099</t>
  </si>
  <si>
    <t>Arjun Patel</t>
  </si>
  <si>
    <t>EMP1100</t>
  </si>
  <si>
    <t>EMP1101</t>
  </si>
  <si>
    <t>EMP1102</t>
  </si>
  <si>
    <t>Isha Verma</t>
  </si>
  <si>
    <t>EMP1103</t>
  </si>
  <si>
    <t>EMP1104</t>
  </si>
  <si>
    <t>Isha Joshi</t>
  </si>
  <si>
    <t>EMP1105</t>
  </si>
  <si>
    <t>Dev Kumar</t>
  </si>
  <si>
    <t>EMP1106</t>
  </si>
  <si>
    <t>Isha Kumar</t>
  </si>
  <si>
    <t>EMP1107</t>
  </si>
  <si>
    <t>Dev Nair</t>
  </si>
  <si>
    <t>EMP1108</t>
  </si>
  <si>
    <t>EMP1109</t>
  </si>
  <si>
    <t>EMP1110</t>
  </si>
  <si>
    <t>Sneha Gupta</t>
  </si>
  <si>
    <t>EMP1111</t>
  </si>
  <si>
    <t>Rahul Nair</t>
  </si>
  <si>
    <t>EMP1112</t>
  </si>
  <si>
    <t>Ananya Reddy</t>
  </si>
  <si>
    <t>EMP1113</t>
  </si>
  <si>
    <t>EMP1114</t>
  </si>
  <si>
    <t>EMP1115</t>
  </si>
  <si>
    <t>Kabir Singh</t>
  </si>
  <si>
    <t>EMP1116</t>
  </si>
  <si>
    <t>EMP1117</t>
  </si>
  <si>
    <t>EMP1118</t>
  </si>
  <si>
    <t>EMP1119</t>
  </si>
  <si>
    <t>Isha Reddy</t>
  </si>
  <si>
    <t>EMP1120</t>
  </si>
  <si>
    <t>Rahul Sharma</t>
  </si>
  <si>
    <t>EMP1121</t>
  </si>
  <si>
    <t>Kabir Mehta</t>
  </si>
  <si>
    <t>EMP1122</t>
  </si>
  <si>
    <t>Vivaan Nair</t>
  </si>
  <si>
    <t>EMP1123</t>
  </si>
  <si>
    <t>Vivaan Reddy</t>
  </si>
  <si>
    <t>EMP1124</t>
  </si>
  <si>
    <t>EMP1125</t>
  </si>
  <si>
    <t>Isha Mehta</t>
  </si>
  <si>
    <t>EMP1126</t>
  </si>
  <si>
    <t>EMP1127</t>
  </si>
  <si>
    <t>EMP1128</t>
  </si>
  <si>
    <t>EMP1129</t>
  </si>
  <si>
    <t>Sneha Nair</t>
  </si>
  <si>
    <t>EMP1130</t>
  </si>
  <si>
    <t>EMP1131</t>
  </si>
  <si>
    <t>Sneha Joshi</t>
  </si>
  <si>
    <t>EMP1132</t>
  </si>
  <si>
    <t>EMP1133</t>
  </si>
  <si>
    <t>Arjun Gupta</t>
  </si>
  <si>
    <t>EMP1134</t>
  </si>
  <si>
    <t>Neha Joshi</t>
  </si>
  <si>
    <t>EMP1135</t>
  </si>
  <si>
    <t>Riya Gupta</t>
  </si>
  <si>
    <t>EMP1136</t>
  </si>
  <si>
    <t>EMP1137</t>
  </si>
  <si>
    <t>Aditya Verma</t>
  </si>
  <si>
    <t>EMP1138</t>
  </si>
  <si>
    <t>Karan Singh</t>
  </si>
  <si>
    <t>EMP1139</t>
  </si>
  <si>
    <t>EMP1140</t>
  </si>
  <si>
    <t>Dev Sharma</t>
  </si>
  <si>
    <t>EMP1141</t>
  </si>
  <si>
    <t>EMP1142</t>
  </si>
  <si>
    <t>Aditya Nair</t>
  </si>
  <si>
    <t>EMP1143</t>
  </si>
  <si>
    <t>EMP1144</t>
  </si>
  <si>
    <t>EMP1145</t>
  </si>
  <si>
    <t>EMP1146</t>
  </si>
  <si>
    <t>Kabir Kumar</t>
  </si>
  <si>
    <t>EMP1147</t>
  </si>
  <si>
    <t>EMP1148</t>
  </si>
  <si>
    <t>EMP1149</t>
  </si>
  <si>
    <t>Meera Mehta</t>
  </si>
  <si>
    <t>EMP1150</t>
  </si>
  <si>
    <t>EMP1151</t>
  </si>
  <si>
    <t>EMP1152</t>
  </si>
  <si>
    <t>EMP1153</t>
  </si>
  <si>
    <t>EMP1154</t>
  </si>
  <si>
    <t>Priya Singh</t>
  </si>
  <si>
    <t>EMP1155</t>
  </si>
  <si>
    <t>EMP1156</t>
  </si>
  <si>
    <t>EMP1157</t>
  </si>
  <si>
    <t>EMP1158</t>
  </si>
  <si>
    <t>EMP1159</t>
  </si>
  <si>
    <t>EMP1160</t>
  </si>
  <si>
    <t>Vivaan Singh</t>
  </si>
  <si>
    <t>EMP1161</t>
  </si>
  <si>
    <t>Ananya Joshi</t>
  </si>
  <si>
    <t>EMP1162</t>
  </si>
  <si>
    <t>Vivaan Sharma</t>
  </si>
  <si>
    <t>EMP1163</t>
  </si>
  <si>
    <t>EMP1164</t>
  </si>
  <si>
    <t>Pooja Gupta</t>
  </si>
  <si>
    <t>EMP1165</t>
  </si>
  <si>
    <t>EMP1166</t>
  </si>
  <si>
    <t>Aditi Kumar</t>
  </si>
  <si>
    <t>EMP1167</t>
  </si>
  <si>
    <t>Sneha Mehta</t>
  </si>
  <si>
    <t>EMP1168</t>
  </si>
  <si>
    <t>Priya Patel</t>
  </si>
  <si>
    <t>EMP1169</t>
  </si>
  <si>
    <t>Aditi Singh</t>
  </si>
  <si>
    <t>EMP1170</t>
  </si>
  <si>
    <t>EMP1171</t>
  </si>
  <si>
    <t>Kabir Sharma</t>
  </si>
  <si>
    <t>EMP1172</t>
  </si>
  <si>
    <t>Rohan Reddy</t>
  </si>
  <si>
    <t>EMP1173</t>
  </si>
  <si>
    <t>EMP1174</t>
  </si>
  <si>
    <t>EMP1175</t>
  </si>
  <si>
    <t>EMP1176</t>
  </si>
  <si>
    <t>Yash Nair</t>
  </si>
  <si>
    <t>EMP1177</t>
  </si>
  <si>
    <t>Riya Verma</t>
  </si>
  <si>
    <t>EMP1178</t>
  </si>
  <si>
    <t>EMP1179</t>
  </si>
  <si>
    <t>EMP1180</t>
  </si>
  <si>
    <t>EMP1181</t>
  </si>
  <si>
    <t>Arjun Nair</t>
  </si>
  <si>
    <t>EMP1182</t>
  </si>
  <si>
    <t>EMP1183</t>
  </si>
  <si>
    <t>Aarav Verma</t>
  </si>
  <si>
    <t>EMP1184</t>
  </si>
  <si>
    <t>Meera Reddy</t>
  </si>
  <si>
    <t>EMP1185</t>
  </si>
  <si>
    <t>Karan Nair</t>
  </si>
  <si>
    <t>EMP1186</t>
  </si>
  <si>
    <t>EMP1187</t>
  </si>
  <si>
    <t>EMP1188</t>
  </si>
  <si>
    <t>Aditya Sharma</t>
  </si>
  <si>
    <t>EMP1189</t>
  </si>
  <si>
    <t>Meera Gupta</t>
  </si>
  <si>
    <t>EMP1190</t>
  </si>
  <si>
    <t>Rahul Reddy</t>
  </si>
  <si>
    <t>EMP1191</t>
  </si>
  <si>
    <t>Dev Joshi</t>
  </si>
  <si>
    <t>EMP1192</t>
  </si>
  <si>
    <t>EMP1193</t>
  </si>
  <si>
    <t>EMP1194</t>
  </si>
  <si>
    <t>EMP1195</t>
  </si>
  <si>
    <t>EMP1196</t>
  </si>
  <si>
    <t>Vivaan Mehta</t>
  </si>
  <si>
    <t>EMP1197</t>
  </si>
  <si>
    <t>EMP1198</t>
  </si>
  <si>
    <t>Neha Gupta</t>
  </si>
  <si>
    <t>EMP1199</t>
  </si>
  <si>
    <t>Karan Verma</t>
  </si>
  <si>
    <t>EMP1200</t>
  </si>
  <si>
    <t>EMP1201</t>
  </si>
  <si>
    <t>Aditi Sharma</t>
  </si>
  <si>
    <t>EMP1202</t>
  </si>
  <si>
    <t>EMP1203</t>
  </si>
  <si>
    <t>Aditya Mehta</t>
  </si>
  <si>
    <t>EMP1204</t>
  </si>
  <si>
    <t>EMP1205</t>
  </si>
  <si>
    <t>EMP1206</t>
  </si>
  <si>
    <t>Rohan Verma</t>
  </si>
  <si>
    <t>EMP1207</t>
  </si>
  <si>
    <t>Kabir Nair</t>
  </si>
  <si>
    <t>EMP1208</t>
  </si>
  <si>
    <t>Meera Joshi</t>
  </si>
  <si>
    <t>EMP1209</t>
  </si>
  <si>
    <t>EMP1210</t>
  </si>
  <si>
    <t>EMP1211</t>
  </si>
  <si>
    <t>EMP1212</t>
  </si>
  <si>
    <t>EMP1213</t>
  </si>
  <si>
    <t>Sneha Sharma</t>
  </si>
  <si>
    <t>EMP1214</t>
  </si>
  <si>
    <t>EMP1215</t>
  </si>
  <si>
    <t>EMP1216</t>
  </si>
  <si>
    <t>Sneha Singh</t>
  </si>
  <si>
    <t>EMP1217</t>
  </si>
  <si>
    <t>EMP1218</t>
  </si>
  <si>
    <t>EMP1219</t>
  </si>
  <si>
    <t>Yash Gupta</t>
  </si>
  <si>
    <t>EMP1220</t>
  </si>
  <si>
    <t>EMP1221</t>
  </si>
  <si>
    <t>Rohan Singh</t>
  </si>
  <si>
    <t>EMP1222</t>
  </si>
  <si>
    <t>EMP1223</t>
  </si>
  <si>
    <t>Riya Nair</t>
  </si>
  <si>
    <t>EMP1224</t>
  </si>
  <si>
    <t>EMP1225</t>
  </si>
  <si>
    <t>EMP1226</t>
  </si>
  <si>
    <t>Riya Reddy</t>
  </si>
  <si>
    <t>EMP1227</t>
  </si>
  <si>
    <t>EMP1228</t>
  </si>
  <si>
    <t>Ananya Mehta</t>
  </si>
  <si>
    <t>EMP1229</t>
  </si>
  <si>
    <t>EMP1230</t>
  </si>
  <si>
    <t>EMP1231</t>
  </si>
  <si>
    <t>Arjun Mehta</t>
  </si>
  <si>
    <t>EMP1232</t>
  </si>
  <si>
    <t>Kabir Gupta</t>
  </si>
  <si>
    <t>EMP1233</t>
  </si>
  <si>
    <t>EMP1234</t>
  </si>
  <si>
    <t>Dev Reddy</t>
  </si>
  <si>
    <t>EMP1235</t>
  </si>
  <si>
    <t>Isha Nair</t>
  </si>
  <si>
    <t>EMP1236</t>
  </si>
  <si>
    <t>EMP1237</t>
  </si>
  <si>
    <t>Vivaan Patel</t>
  </si>
  <si>
    <t>EMP1238</t>
  </si>
  <si>
    <t>EMP1239</t>
  </si>
  <si>
    <t>EMP1240</t>
  </si>
  <si>
    <t>EMP1241</t>
  </si>
  <si>
    <t>EMP1242</t>
  </si>
  <si>
    <t>EMP1243</t>
  </si>
  <si>
    <t>Ananya Kumar</t>
  </si>
  <si>
    <t>EMP1244</t>
  </si>
  <si>
    <t>Nisha Joshi</t>
  </si>
  <si>
    <t>EMP1245</t>
  </si>
  <si>
    <t>EMP1246</t>
  </si>
  <si>
    <t>EMP1247</t>
  </si>
  <si>
    <t>Pooja Mehta</t>
  </si>
  <si>
    <t>EMP1248</t>
  </si>
  <si>
    <t>EMP1249</t>
  </si>
  <si>
    <t>EMP1250</t>
  </si>
  <si>
    <t>EMP1251</t>
  </si>
  <si>
    <t>EMP1252</t>
  </si>
  <si>
    <t>EMP1253</t>
  </si>
  <si>
    <t>EMP1254</t>
  </si>
  <si>
    <t>EMP1255</t>
  </si>
  <si>
    <t>Neha Reddy</t>
  </si>
  <si>
    <t>EMP1256</t>
  </si>
  <si>
    <t>EMP1257</t>
  </si>
  <si>
    <t>Aditi Verma</t>
  </si>
  <si>
    <t>EMP1258</t>
  </si>
  <si>
    <t>EMP1259</t>
  </si>
  <si>
    <t>Aarav Patel</t>
  </si>
  <si>
    <t>EMP1260</t>
  </si>
  <si>
    <t>EMP1261</t>
  </si>
  <si>
    <t>Vivaan Kumar</t>
  </si>
  <si>
    <t>EMP1262</t>
  </si>
  <si>
    <t>EMP1263</t>
  </si>
  <si>
    <t>EMP1264</t>
  </si>
  <si>
    <t>EMP1265</t>
  </si>
  <si>
    <t>Rohan Gupta</t>
  </si>
  <si>
    <t>EMP1266</t>
  </si>
  <si>
    <t>Pooja Nair</t>
  </si>
  <si>
    <t>EMP1267</t>
  </si>
  <si>
    <t>EMP1268</t>
  </si>
  <si>
    <t>EMP1269</t>
  </si>
  <si>
    <t>EMP1270</t>
  </si>
  <si>
    <t>Aditya Kumar</t>
  </si>
  <si>
    <t>EMP1271</t>
  </si>
  <si>
    <t>EMP1272</t>
  </si>
  <si>
    <t>Dev Mehta</t>
  </si>
  <si>
    <t>EMP1273</t>
  </si>
  <si>
    <t>EMP1274</t>
  </si>
  <si>
    <t>EMP1275</t>
  </si>
  <si>
    <t>EMP1276</t>
  </si>
  <si>
    <t>Priya Sharma</t>
  </si>
  <si>
    <t>EMP1277</t>
  </si>
  <si>
    <t>EMP1278</t>
  </si>
  <si>
    <t>Aditya Reddy</t>
  </si>
  <si>
    <t>EMP1279</t>
  </si>
  <si>
    <t>EMP1280</t>
  </si>
  <si>
    <t>EMP1281</t>
  </si>
  <si>
    <t>Kabir Joshi</t>
  </si>
  <si>
    <t>EMP1282</t>
  </si>
  <si>
    <t>Dev Gupta</t>
  </si>
  <si>
    <t>EMP1283</t>
  </si>
  <si>
    <t>EMP1284</t>
  </si>
  <si>
    <t>Rahul Mehta</t>
  </si>
  <si>
    <t>EMP1285</t>
  </si>
  <si>
    <t>EMP1286</t>
  </si>
  <si>
    <t>Aarav Gupta</t>
  </si>
  <si>
    <t>EMP1287</t>
  </si>
  <si>
    <t>EMP1288</t>
  </si>
  <si>
    <t>Ananya Verma</t>
  </si>
  <si>
    <t>EMP1289</t>
  </si>
  <si>
    <t>EMP1290</t>
  </si>
  <si>
    <t>EMP1291</t>
  </si>
  <si>
    <t>EMP1292</t>
  </si>
  <si>
    <t>EMP1293</t>
  </si>
  <si>
    <t>EMP1294</t>
  </si>
  <si>
    <t>EMP1295</t>
  </si>
  <si>
    <t>EMP1296</t>
  </si>
  <si>
    <t>EMP1297</t>
  </si>
  <si>
    <t>EMP1298</t>
  </si>
  <si>
    <t>EMP1299</t>
  </si>
  <si>
    <t>EMP1300</t>
  </si>
  <si>
    <t>Nisha Reddy</t>
  </si>
  <si>
    <t>EMP1301</t>
  </si>
  <si>
    <t>EMP1302</t>
  </si>
  <si>
    <t>EMP1303</t>
  </si>
  <si>
    <t>EMP1304</t>
  </si>
  <si>
    <t>EMP1305</t>
  </si>
  <si>
    <t>EMP1306</t>
  </si>
  <si>
    <t>EMP1307</t>
  </si>
  <si>
    <t>EMP1308</t>
  </si>
  <si>
    <t>EMP1309</t>
  </si>
  <si>
    <t>EMP1310</t>
  </si>
  <si>
    <t>EMP1311</t>
  </si>
  <si>
    <t>EMP1312</t>
  </si>
  <si>
    <t>EMP1313</t>
  </si>
  <si>
    <t>EMP1314</t>
  </si>
  <si>
    <t>EMP1315</t>
  </si>
  <si>
    <t>EMP1316</t>
  </si>
  <si>
    <t>EMP1317</t>
  </si>
  <si>
    <t>EMP1318</t>
  </si>
  <si>
    <t>Arjun Verma</t>
  </si>
  <si>
    <t>EMP1319</t>
  </si>
  <si>
    <t>EMP1320</t>
  </si>
  <si>
    <t>EMP1321</t>
  </si>
  <si>
    <t>EMP1322</t>
  </si>
  <si>
    <t>EMP1323</t>
  </si>
  <si>
    <t>EMP1324</t>
  </si>
  <si>
    <t>EMP1325</t>
  </si>
  <si>
    <t>EMP1326</t>
  </si>
  <si>
    <t>EMP1327</t>
  </si>
  <si>
    <t>EMP1328</t>
  </si>
  <si>
    <t>EMP1329</t>
  </si>
  <si>
    <t>Sneha Verma</t>
  </si>
  <si>
    <t>EMP1330</t>
  </si>
  <si>
    <t>EMP1331</t>
  </si>
  <si>
    <t>EMP1332</t>
  </si>
  <si>
    <t>EMP1333</t>
  </si>
  <si>
    <t>Aarav Mehta</t>
  </si>
  <si>
    <t>EMP1334</t>
  </si>
  <si>
    <t>Yash Joshi</t>
  </si>
  <si>
    <t>EMP1335</t>
  </si>
  <si>
    <t>EMP1336</t>
  </si>
  <si>
    <t>EMP1337</t>
  </si>
  <si>
    <t>EMP1338</t>
  </si>
  <si>
    <t>Neha Sharma</t>
  </si>
  <si>
    <t>EMP1339</t>
  </si>
  <si>
    <t>EMP1340</t>
  </si>
  <si>
    <t>EMP1341</t>
  </si>
  <si>
    <t>Vivaan Joshi</t>
  </si>
  <si>
    <t>EMP1342</t>
  </si>
  <si>
    <t>EMP1343</t>
  </si>
  <si>
    <t>EMP1344</t>
  </si>
  <si>
    <t>EMP1345</t>
  </si>
  <si>
    <t>EMP1346</t>
  </si>
  <si>
    <t>EMP1347</t>
  </si>
  <si>
    <t>Yash Singh</t>
  </si>
  <si>
    <t>EMP1348</t>
  </si>
  <si>
    <t>EMP1349</t>
  </si>
  <si>
    <t>EMP1350</t>
  </si>
  <si>
    <t>EMP1351</t>
  </si>
  <si>
    <t>EMP1352</t>
  </si>
  <si>
    <t>EMP1353</t>
  </si>
  <si>
    <t>Aditi Joshi</t>
  </si>
  <si>
    <t>EMP1354</t>
  </si>
  <si>
    <t>EMP1355</t>
  </si>
  <si>
    <t>Rahul Patel</t>
  </si>
  <si>
    <t>EMP1356</t>
  </si>
  <si>
    <t>EMP1357</t>
  </si>
  <si>
    <t>EMP1358</t>
  </si>
  <si>
    <t>EMP1359</t>
  </si>
  <si>
    <t>EMP1360</t>
  </si>
  <si>
    <t>EMP1361</t>
  </si>
  <si>
    <t>EMP1362</t>
  </si>
  <si>
    <t>EMP1363</t>
  </si>
  <si>
    <t>EMP1364</t>
  </si>
  <si>
    <t>EMP1365</t>
  </si>
  <si>
    <t>EMP1366</t>
  </si>
  <si>
    <t>Yash Reddy</t>
  </si>
  <si>
    <t>EMP1367</t>
  </si>
  <si>
    <t>EMP1368</t>
  </si>
  <si>
    <t>EMP1369</t>
  </si>
  <si>
    <t>EMP1370</t>
  </si>
  <si>
    <t>EMP1371</t>
  </si>
  <si>
    <t>EMP1372</t>
  </si>
  <si>
    <t>Dev Verma</t>
  </si>
  <si>
    <t>EMP1373</t>
  </si>
  <si>
    <t>EMP1374</t>
  </si>
  <si>
    <t>EMP1375</t>
  </si>
  <si>
    <t>EMP1376</t>
  </si>
  <si>
    <t>EMP1377</t>
  </si>
  <si>
    <t>EMP1378</t>
  </si>
  <si>
    <t>EMP1379</t>
  </si>
  <si>
    <t>EMP1380</t>
  </si>
  <si>
    <t>EMP1381</t>
  </si>
  <si>
    <t>EMP1382</t>
  </si>
  <si>
    <t>EMP1383</t>
  </si>
  <si>
    <t>EMP1384</t>
  </si>
  <si>
    <t>EMP1385</t>
  </si>
  <si>
    <t>EMP1386</t>
  </si>
  <si>
    <t>EMP1387</t>
  </si>
  <si>
    <t>EMP1388</t>
  </si>
  <si>
    <t>EMP1389</t>
  </si>
  <si>
    <t>EMP1390</t>
  </si>
  <si>
    <t>EMP1391</t>
  </si>
  <si>
    <t>EMP1392</t>
  </si>
  <si>
    <t>EMP1393</t>
  </si>
  <si>
    <t>EMP1394</t>
  </si>
  <si>
    <t>EMP1395</t>
  </si>
  <si>
    <t>Aditya Singh</t>
  </si>
  <si>
    <t>EMP1396</t>
  </si>
  <si>
    <t>Ananya Singh</t>
  </si>
  <si>
    <t>EMP1397</t>
  </si>
  <si>
    <t>EMP1398</t>
  </si>
  <si>
    <t>EMP1399</t>
  </si>
  <si>
    <t>Vivaan Gupta</t>
  </si>
  <si>
    <t>EMP1400</t>
  </si>
  <si>
    <t>EMP1401</t>
  </si>
  <si>
    <t>EMP1402</t>
  </si>
  <si>
    <t>EMP1403</t>
  </si>
  <si>
    <t>EMP1404</t>
  </si>
  <si>
    <t>EMP1405</t>
  </si>
  <si>
    <t>EMP1406</t>
  </si>
  <si>
    <t>EMP1407</t>
  </si>
  <si>
    <t>EMP1408</t>
  </si>
  <si>
    <t>EMP1409</t>
  </si>
  <si>
    <t>EMP1410</t>
  </si>
  <si>
    <t>EMP1411</t>
  </si>
  <si>
    <t>Kabir Reddy</t>
  </si>
  <si>
    <t>EMP1412</t>
  </si>
  <si>
    <t>EMP1413</t>
  </si>
  <si>
    <t>EMP1414</t>
  </si>
  <si>
    <t>EMP1415</t>
  </si>
  <si>
    <t>EMP1416</t>
  </si>
  <si>
    <t>EMP1417</t>
  </si>
  <si>
    <t>EMP1418</t>
  </si>
  <si>
    <t>Rohan Patel</t>
  </si>
  <si>
    <t>EMP1419</t>
  </si>
  <si>
    <t>EMP1420</t>
  </si>
  <si>
    <t>EMP1421</t>
  </si>
  <si>
    <t>EMP1422</t>
  </si>
  <si>
    <t>EMP1423</t>
  </si>
  <si>
    <t>EMP1424</t>
  </si>
  <si>
    <t>EMP1425</t>
  </si>
  <si>
    <t>EMP1426</t>
  </si>
  <si>
    <t>EMP1427</t>
  </si>
  <si>
    <t>EMP1428</t>
  </si>
  <si>
    <t>EMP1429</t>
  </si>
  <si>
    <t>EMP1430</t>
  </si>
  <si>
    <t>EMP1431</t>
  </si>
  <si>
    <t>EMP1432</t>
  </si>
  <si>
    <t>EMP1433</t>
  </si>
  <si>
    <t>EMP1434</t>
  </si>
  <si>
    <t>EMP1435</t>
  </si>
  <si>
    <t>EMP1436</t>
  </si>
  <si>
    <t>Arjun Singh</t>
  </si>
  <si>
    <t>EMP1437</t>
  </si>
  <si>
    <t>EMP1438</t>
  </si>
  <si>
    <t>EMP1439</t>
  </si>
  <si>
    <t>EMP1440</t>
  </si>
  <si>
    <t>Karan Sharma</t>
  </si>
  <si>
    <t>EMP1441</t>
  </si>
  <si>
    <t>EMP1442</t>
  </si>
  <si>
    <t>EMP1443</t>
  </si>
  <si>
    <t>EMP1444</t>
  </si>
  <si>
    <t>Karan Gupta</t>
  </si>
  <si>
    <t>EMP1445</t>
  </si>
  <si>
    <t>EMP1446</t>
  </si>
  <si>
    <t>EMP1447</t>
  </si>
  <si>
    <t>EMP1448</t>
  </si>
  <si>
    <t>EMP1449</t>
  </si>
  <si>
    <t>EMP1450</t>
  </si>
  <si>
    <t>EMP1451</t>
  </si>
  <si>
    <t>EMP1452</t>
  </si>
  <si>
    <t>EMP1453</t>
  </si>
  <si>
    <t>EMP1454</t>
  </si>
  <si>
    <t>EMP1455</t>
  </si>
  <si>
    <t>EMP1456</t>
  </si>
  <si>
    <t>EMP1457</t>
  </si>
  <si>
    <t>EMP1458</t>
  </si>
  <si>
    <t>EMP1459</t>
  </si>
  <si>
    <t>Isha Sharma</t>
  </si>
  <si>
    <t>EMP1460</t>
  </si>
  <si>
    <t>EMP1461</t>
  </si>
  <si>
    <t>EMP1462</t>
  </si>
  <si>
    <t>Aarav Kumar</t>
  </si>
  <si>
    <t>EMP1463</t>
  </si>
  <si>
    <t>EMP1464</t>
  </si>
  <si>
    <t>EMP1465</t>
  </si>
  <si>
    <t>EMP1466</t>
  </si>
  <si>
    <t>EMP1467</t>
  </si>
  <si>
    <t>EMP1468</t>
  </si>
  <si>
    <t>EMP1469</t>
  </si>
  <si>
    <t>EMP1470</t>
  </si>
  <si>
    <t>EMP1471</t>
  </si>
  <si>
    <t>EMP1472</t>
  </si>
  <si>
    <t>EMP1473</t>
  </si>
  <si>
    <t>EMP1474</t>
  </si>
  <si>
    <t>EMP1475</t>
  </si>
  <si>
    <t>EMP1476</t>
  </si>
  <si>
    <t>EMP1477</t>
  </si>
  <si>
    <t>EMP1478</t>
  </si>
  <si>
    <t>EMP1479</t>
  </si>
  <si>
    <t>EMP1480</t>
  </si>
  <si>
    <t>EMP1481</t>
  </si>
  <si>
    <t>EMP1482</t>
  </si>
  <si>
    <t>EMP1483</t>
  </si>
  <si>
    <t>EMP1484</t>
  </si>
  <si>
    <t>EMP1485</t>
  </si>
  <si>
    <t>EMP1486</t>
  </si>
  <si>
    <t>EMP1487</t>
  </si>
  <si>
    <t>EMP1488</t>
  </si>
  <si>
    <t>EMP1489</t>
  </si>
  <si>
    <t>EMP1490</t>
  </si>
  <si>
    <t>EMP1491</t>
  </si>
  <si>
    <t>EMP1492</t>
  </si>
  <si>
    <t>EMP1493</t>
  </si>
  <si>
    <t>EMP1494</t>
  </si>
  <si>
    <t>EMP1495</t>
  </si>
  <si>
    <t>EMP1496</t>
  </si>
  <si>
    <t>EMP1497</t>
  </si>
  <si>
    <t>Karan Mehta</t>
  </si>
  <si>
    <t>EMP1498</t>
  </si>
  <si>
    <t>Priya Joshi</t>
  </si>
  <si>
    <t>EMP1499</t>
  </si>
  <si>
    <t>EMP1500</t>
  </si>
  <si>
    <t>Priya Nair</t>
  </si>
  <si>
    <t>Row Labels</t>
  </si>
  <si>
    <t>Grand Total</t>
  </si>
  <si>
    <t>Average of Productivity %</t>
  </si>
  <si>
    <t>Average of Attendance %</t>
  </si>
  <si>
    <t>Average of Quality Score</t>
  </si>
  <si>
    <t>Sum of Overtime Hours</t>
  </si>
  <si>
    <t>OPERATIONS &amp; WORKFORCE MIS DASHBOARD</t>
  </si>
  <si>
    <t xml:space="preserve"> Overview of Workforce Performance &amp; Productivity</t>
  </si>
  <si>
    <t>TOTAL EMPLOYEES</t>
  </si>
  <si>
    <t>AVERAGE PRODUCTIVITY</t>
  </si>
  <si>
    <t>TARGET ACHIEVEMENT</t>
  </si>
  <si>
    <t>AVERAGE ATTENDANCE</t>
  </si>
  <si>
    <t>EMPLOYEES BELOW TARGET</t>
  </si>
  <si>
    <t>Average of Target Achievement %</t>
  </si>
  <si>
    <t>Count of Employee ID</t>
  </si>
  <si>
    <r>
      <rPr>
        <b/>
        <sz val="14"/>
        <color theme="0"/>
        <rFont val="Calibri"/>
        <family val="2"/>
        <scheme val="minor"/>
      </rPr>
      <t>Note</t>
    </r>
    <r>
      <rPr>
        <b/>
        <sz val="12"/>
        <color theme="0"/>
        <rFont val="Calibri"/>
        <family val="2"/>
        <scheme val="minor"/>
      </rPr>
      <t xml:space="preserve"> : Productivity % = ( Actual Output / Standard Output ) * 100 |  Target Achievement % = ( Actual Output / Target Output ) * 100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</si>
</sst>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_ * #,##0_ ;_ * \-#,##0_ ;_ * &quot;-&quot;??_ ;_ @_ "/>
  </numFmts>
  <fonts count="13" x14ac:knownFonts="1">
    <font>
      <sz val="11"/>
      <color theme="1"/>
      <name val="Calibri"/>
      <family val="2"/>
      <scheme val="minor"/>
    </font>
    <font>
      <b/>
      <sz val="20"/>
      <color theme="3" tint="-0.249977111117893"/>
      <name val="Calibri"/>
      <family val="2"/>
      <scheme val="minor"/>
    </font>
    <font>
      <b/>
      <sz val="10"/>
      <name val="Calibri"/>
      <family val="2"/>
      <scheme val="minor"/>
    </font>
    <font>
      <sz val="11"/>
      <name val="Calibri"/>
      <family val="2"/>
      <scheme val="minor"/>
    </font>
    <font>
      <b/>
      <sz val="24"/>
      <color theme="0"/>
      <name val="Calibri"/>
      <family val="2"/>
      <scheme val="minor"/>
    </font>
    <font>
      <b/>
      <sz val="12"/>
      <color theme="0"/>
      <name val="Calibri"/>
      <family val="2"/>
      <scheme val="minor"/>
    </font>
    <font>
      <b/>
      <sz val="14"/>
      <name val="Calibri"/>
      <family val="2"/>
      <scheme val="minor"/>
    </font>
    <font>
      <b/>
      <sz val="14"/>
      <color theme="1"/>
      <name val="Calibri"/>
      <family val="2"/>
      <scheme val="minor"/>
    </font>
    <font>
      <b/>
      <sz val="22"/>
      <name val="Calibri"/>
      <family val="2"/>
      <scheme val="minor"/>
    </font>
    <font>
      <b/>
      <sz val="22"/>
      <color theme="1"/>
      <name val="Calibri"/>
      <family val="2"/>
      <scheme val="minor"/>
    </font>
    <font>
      <sz val="11"/>
      <color theme="3" tint="-0.249977111117893"/>
      <name val="Calibri"/>
      <family val="2"/>
      <scheme val="minor"/>
    </font>
    <font>
      <sz val="12"/>
      <color theme="1"/>
      <name val="Calibri"/>
      <family val="2"/>
      <scheme val="minor"/>
    </font>
    <font>
      <b/>
      <sz val="14"/>
      <color theme="0"/>
      <name val="Calibri"/>
      <family val="2"/>
      <scheme val="minor"/>
    </font>
  </fonts>
  <fills count="3">
    <fill>
      <patternFill patternType="none"/>
    </fill>
    <fill>
      <patternFill patternType="gray125"/>
    </fill>
    <fill>
      <patternFill patternType="solid">
        <fgColor theme="3" tint="-0.499984740745262"/>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165" fontId="0" fillId="0" borderId="0" xfId="0" applyNumberFormat="1"/>
    <xf numFmtId="164" fontId="0" fillId="0" borderId="0" xfId="0" pivotButton="1" applyNumberFormat="1"/>
    <xf numFmtId="164" fontId="0" fillId="0" borderId="0" xfId="0" applyNumberFormat="1" applyAlignment="1">
      <alignment horizontal="left"/>
    </xf>
    <xf numFmtId="0" fontId="2" fillId="0" borderId="0" xfId="0" applyFont="1" applyAlignment="1">
      <alignment vertical="center" wrapText="1"/>
    </xf>
    <xf numFmtId="164" fontId="1" fillId="0" borderId="0" xfId="0" applyNumberFormat="1" applyFont="1" applyAlignment="1">
      <alignment vertical="center" wrapText="1"/>
    </xf>
    <xf numFmtId="0" fontId="10" fillId="2" borderId="0" xfId="0" applyFont="1" applyFill="1"/>
    <xf numFmtId="0" fontId="3" fillId="2" borderId="0" xfId="0" applyFont="1" applyFill="1"/>
    <xf numFmtId="0" fontId="0" fillId="2" borderId="0" xfId="0" applyFill="1"/>
    <xf numFmtId="0" fontId="6" fillId="0" borderId="0" xfId="0" applyFont="1" applyAlignment="1">
      <alignment horizontal="center" vertical="center" wrapText="1"/>
    </xf>
    <xf numFmtId="0" fontId="8" fillId="0" borderId="0" xfId="0" applyFont="1" applyAlignment="1">
      <alignment horizontal="center" vertical="center" wrapText="1"/>
    </xf>
    <xf numFmtId="0" fontId="7" fillId="0" borderId="0" xfId="0" applyFont="1" applyAlignment="1">
      <alignment horizontal="center" vertical="center"/>
    </xf>
    <xf numFmtId="0" fontId="9" fillId="0" borderId="0" xfId="0" applyFont="1" applyAlignment="1">
      <alignment horizontal="center" vertical="center"/>
    </xf>
    <xf numFmtId="0" fontId="4" fillId="2" borderId="0" xfId="0" applyFont="1" applyFill="1" applyAlignment="1">
      <alignment horizontal="left" vertical="center" indent="8"/>
    </xf>
    <xf numFmtId="0" fontId="5" fillId="2" borderId="0" xfId="0" applyFont="1" applyFill="1" applyAlignment="1">
      <alignment horizontal="left" vertical="center" indent="9"/>
    </xf>
    <xf numFmtId="0" fontId="5" fillId="2" borderId="0" xfId="0" applyFont="1" applyFill="1" applyAlignment="1">
      <alignment horizontal="left" vertical="center" indent="2"/>
    </xf>
    <xf numFmtId="0" fontId="11" fillId="2" borderId="0" xfId="0" applyFont="1" applyFill="1" applyAlignment="1">
      <alignment horizontal="left" vertical="center" indent="2"/>
    </xf>
  </cellXfs>
  <cellStyles count="1">
    <cellStyle name="Normal" xfId="0" builtinId="0"/>
  </cellStyles>
  <dxfs count="18">
    <dxf>
      <numFmt numFmtId="0" formatCode="General"/>
    </dxf>
    <dxf>
      <numFmt numFmtId="165" formatCode="_ * #,##0_ ;_ * \-#,##0_ ;_ * &quot;-&quot;??_ ;_ @_ "/>
    </dxf>
    <dxf>
      <numFmt numFmtId="165" formatCode="_ * #,##0_ ;_ * \-#,##0_ ;_ * &quot;-&quot;??_ ;_ @_ "/>
    </dxf>
    <dxf>
      <numFmt numFmtId="164" formatCode="0.0"/>
    </dxf>
    <dxf>
      <numFmt numFmtId="13"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5" Type="http://schemas.openxmlformats.org/officeDocument/2006/relationships/pivotCacheDefinition" Target="pivotCache/pivotCacheDefinition1.xml"/><Relationship Id="rId15" Type="http://schemas.openxmlformats.org/officeDocument/2006/relationships/theme" Target="theme/theme1.xml"/><Relationship Id="rId10" Type="http://schemas.openxmlformats.org/officeDocument/2006/relationships/pivotCacheDefinition" Target="pivotCache/pivotCacheDefinition6.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[Operations_Workforce_MIS_Dataset_Enhanced.xlsm]Pivot_Analysis!PivotTable4</c:name>
    <c:fmtId val="1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Pivot_Analysis!$B$29</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Pivot_Analysis!$A$30:$A$36</c:f>
              <c:strCache>
                <c:ptCount val="6"/>
                <c:pt idx="0">
                  <c:v>Bangalore</c:v>
                </c:pt>
                <c:pt idx="1">
                  <c:v>Delhi</c:v>
                </c:pt>
                <c:pt idx="2">
                  <c:v>Gurgaon</c:v>
                </c:pt>
                <c:pt idx="3">
                  <c:v>Hyderabad</c:v>
                </c:pt>
                <c:pt idx="4">
                  <c:v>Noida</c:v>
                </c:pt>
                <c:pt idx="5">
                  <c:v>Pune</c:v>
                </c:pt>
              </c:strCache>
            </c:strRef>
          </c:cat>
          <c:val>
            <c:numRef>
              <c:f>Pivot_Analysis!$B$30:$B$36</c:f>
              <c:numCache>
                <c:formatCode>0.0</c:formatCode>
                <c:ptCount val="6"/>
                <c:pt idx="0">
                  <c:v>89.391666666666666</c:v>
                </c:pt>
                <c:pt idx="1">
                  <c:v>91.821052631578937</c:v>
                </c:pt>
                <c:pt idx="2">
                  <c:v>91.706249999999997</c:v>
                </c:pt>
                <c:pt idx="3">
                  <c:v>91.671428571428578</c:v>
                </c:pt>
                <c:pt idx="4">
                  <c:v>90.805882352941182</c:v>
                </c:pt>
                <c:pt idx="5">
                  <c:v>93.828571428571422</c:v>
                </c:pt>
              </c:numCache>
            </c:numRef>
          </c:val>
          <c:extLst>
            <c:ext xmlns:c16="http://schemas.microsoft.com/office/drawing/2014/chart" uri="{C3380CC4-5D6E-409C-BE32-E72D297353CC}">
              <c16:uniqueId val="{00000000-CF12-43F1-8237-C8654345EFC5}"/>
            </c:ext>
          </c:extLst>
        </c:ser>
        <c:dLbls>
          <c:dLblPos val="ctr"/>
          <c:showLegendKey val="0"/>
          <c:showVal val="1"/>
          <c:showCatName val="0"/>
          <c:showSerName val="0"/>
          <c:showPercent val="0"/>
          <c:showBubbleSize val="0"/>
        </c:dLbls>
        <c:gapWidth val="150"/>
        <c:overlap val="100"/>
        <c:axId val="1065217488"/>
        <c:axId val="948203872"/>
      </c:barChart>
      <c:catAx>
        <c:axId val="106521748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crossAx val="948203872"/>
        <c:crosses val="autoZero"/>
        <c:auto val="1"/>
        <c:lblAlgn val="ctr"/>
        <c:lblOffset val="100"/>
        <c:noMultiLvlLbl val="0"/>
      </c:catAx>
      <c:valAx>
        <c:axId val="94820387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065217488"/>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[Operations_Workforce_MIS_Dataset_Enhanced.xlsm]Sheet2!PivotTable1</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Average of Productivity %</c:v>
                </c:pt>
              </c:strCache>
            </c:strRef>
          </c:tx>
          <c:spPr>
            <a:solidFill>
              <a:schemeClr val="accent1">
                <a:alpha val="85000"/>
              </a:schemeClr>
            </a:solidFill>
            <a:ln w="9525" cap="flat" cmpd="sng" algn="ctr">
              <a:solidFill>
                <a:schemeClr val="lt1">
                  <a:alpha val="50000"/>
                </a:schemeClr>
              </a:solidFill>
              <a:round/>
            </a:ln>
            <a:effectLst/>
          </c:spPr>
          <c:invertIfNegative val="0"/>
          <c:cat>
            <c:strRef>
              <c:f>Sheet2!$A$4:$A$14</c:f>
              <c:strCache>
                <c:ptCount val="10"/>
                <c:pt idx="0">
                  <c:v>Aditya Joshi</c:v>
                </c:pt>
                <c:pt idx="1">
                  <c:v>Ananya Patel</c:v>
                </c:pt>
                <c:pt idx="2">
                  <c:v>Arjun Reddy</c:v>
                </c:pt>
                <c:pt idx="3">
                  <c:v>Dev Nair</c:v>
                </c:pt>
                <c:pt idx="4">
                  <c:v>Isha Verma</c:v>
                </c:pt>
                <c:pt idx="5">
                  <c:v>Nisha Verma</c:v>
                </c:pt>
                <c:pt idx="6">
                  <c:v>Priya Reddy</c:v>
                </c:pt>
                <c:pt idx="7">
                  <c:v>Rahul Sharma</c:v>
                </c:pt>
                <c:pt idx="8">
                  <c:v>Rohan Reddy</c:v>
                </c:pt>
                <c:pt idx="9">
                  <c:v>Yash Mehta</c:v>
                </c:pt>
              </c:strCache>
            </c:strRef>
          </c:cat>
          <c:val>
            <c:numRef>
              <c:f>Sheet2!$B$4:$B$14</c:f>
              <c:numCache>
                <c:formatCode>General</c:formatCode>
                <c:ptCount val="10"/>
                <c:pt idx="0">
                  <c:v>98.65</c:v>
                </c:pt>
                <c:pt idx="1">
                  <c:v>100</c:v>
                </c:pt>
                <c:pt idx="2">
                  <c:v>100</c:v>
                </c:pt>
                <c:pt idx="3">
                  <c:v>99</c:v>
                </c:pt>
                <c:pt idx="4">
                  <c:v>100</c:v>
                </c:pt>
                <c:pt idx="5">
                  <c:v>96.65</c:v>
                </c:pt>
                <c:pt idx="6">
                  <c:v>97.1</c:v>
                </c:pt>
                <c:pt idx="7">
                  <c:v>100</c:v>
                </c:pt>
                <c:pt idx="8">
                  <c:v>97.5</c:v>
                </c:pt>
                <c:pt idx="9">
                  <c:v>97.8</c:v>
                </c:pt>
              </c:numCache>
            </c:numRef>
          </c:val>
          <c:extLst>
            <c:ext xmlns:c16="http://schemas.microsoft.com/office/drawing/2014/chart" uri="{C3380CC4-5D6E-409C-BE32-E72D297353CC}">
              <c16:uniqueId val="{00000000-6824-4EBA-880D-59E0698F585F}"/>
            </c:ext>
          </c:extLst>
        </c:ser>
        <c:ser>
          <c:idx val="1"/>
          <c:order val="1"/>
          <c:tx>
            <c:strRef>
              <c:f>Sheet2!$C$3</c:f>
              <c:strCache>
                <c:ptCount val="1"/>
                <c:pt idx="0">
                  <c:v>Average of Target Achievement %</c:v>
                </c:pt>
              </c:strCache>
            </c:strRef>
          </c:tx>
          <c:spPr>
            <a:solidFill>
              <a:schemeClr val="accent2">
                <a:alpha val="85000"/>
              </a:schemeClr>
            </a:solidFill>
            <a:ln w="9525" cap="flat" cmpd="sng" algn="ctr">
              <a:solidFill>
                <a:schemeClr val="lt1">
                  <a:alpha val="50000"/>
                </a:schemeClr>
              </a:solidFill>
              <a:round/>
            </a:ln>
            <a:effectLst/>
          </c:spPr>
          <c:invertIfNegative val="0"/>
          <c:cat>
            <c:strRef>
              <c:f>Sheet2!$A$4:$A$14</c:f>
              <c:strCache>
                <c:ptCount val="10"/>
                <c:pt idx="0">
                  <c:v>Aditya Joshi</c:v>
                </c:pt>
                <c:pt idx="1">
                  <c:v>Ananya Patel</c:v>
                </c:pt>
                <c:pt idx="2">
                  <c:v>Arjun Reddy</c:v>
                </c:pt>
                <c:pt idx="3">
                  <c:v>Dev Nair</c:v>
                </c:pt>
                <c:pt idx="4">
                  <c:v>Isha Verma</c:v>
                </c:pt>
                <c:pt idx="5">
                  <c:v>Nisha Verma</c:v>
                </c:pt>
                <c:pt idx="6">
                  <c:v>Priya Reddy</c:v>
                </c:pt>
                <c:pt idx="7">
                  <c:v>Rahul Sharma</c:v>
                </c:pt>
                <c:pt idx="8">
                  <c:v>Rohan Reddy</c:v>
                </c:pt>
                <c:pt idx="9">
                  <c:v>Yash Mehta</c:v>
                </c:pt>
              </c:strCache>
            </c:strRef>
          </c:cat>
          <c:val>
            <c:numRef>
              <c:f>Sheet2!$C$4:$C$14</c:f>
              <c:numCache>
                <c:formatCode>General</c:formatCode>
                <c:ptCount val="10"/>
                <c:pt idx="0">
                  <c:v>99.15</c:v>
                </c:pt>
                <c:pt idx="1">
                  <c:v>92</c:v>
                </c:pt>
                <c:pt idx="2">
                  <c:v>93</c:v>
                </c:pt>
                <c:pt idx="3">
                  <c:v>93</c:v>
                </c:pt>
                <c:pt idx="4">
                  <c:v>99</c:v>
                </c:pt>
                <c:pt idx="5">
                  <c:v>100.65</c:v>
                </c:pt>
                <c:pt idx="6">
                  <c:v>89.1</c:v>
                </c:pt>
                <c:pt idx="7">
                  <c:v>94</c:v>
                </c:pt>
                <c:pt idx="8">
                  <c:v>102.5</c:v>
                </c:pt>
                <c:pt idx="9">
                  <c:v>97.8</c:v>
                </c:pt>
              </c:numCache>
            </c:numRef>
          </c:val>
          <c:extLst>
            <c:ext xmlns:c16="http://schemas.microsoft.com/office/drawing/2014/chart" uri="{C3380CC4-5D6E-409C-BE32-E72D297353CC}">
              <c16:uniqueId val="{00000001-6824-4EBA-880D-59E0698F585F}"/>
            </c:ext>
          </c:extLst>
        </c:ser>
        <c:ser>
          <c:idx val="2"/>
          <c:order val="2"/>
          <c:tx>
            <c:strRef>
              <c:f>Sheet2!$D$3</c:f>
              <c:strCache>
                <c:ptCount val="1"/>
                <c:pt idx="0">
                  <c:v>Average of Attendance %</c:v>
                </c:pt>
              </c:strCache>
            </c:strRef>
          </c:tx>
          <c:spPr>
            <a:solidFill>
              <a:schemeClr val="accent3">
                <a:alpha val="85000"/>
              </a:schemeClr>
            </a:solidFill>
            <a:ln w="9525" cap="flat" cmpd="sng" algn="ctr">
              <a:solidFill>
                <a:schemeClr val="lt1">
                  <a:alpha val="50000"/>
                </a:schemeClr>
              </a:solidFill>
              <a:round/>
            </a:ln>
            <a:effectLst/>
          </c:spPr>
          <c:invertIfNegative val="0"/>
          <c:cat>
            <c:strRef>
              <c:f>Sheet2!$A$4:$A$14</c:f>
              <c:strCache>
                <c:ptCount val="10"/>
                <c:pt idx="0">
                  <c:v>Aditya Joshi</c:v>
                </c:pt>
                <c:pt idx="1">
                  <c:v>Ananya Patel</c:v>
                </c:pt>
                <c:pt idx="2">
                  <c:v>Arjun Reddy</c:v>
                </c:pt>
                <c:pt idx="3">
                  <c:v>Dev Nair</c:v>
                </c:pt>
                <c:pt idx="4">
                  <c:v>Isha Verma</c:v>
                </c:pt>
                <c:pt idx="5">
                  <c:v>Nisha Verma</c:v>
                </c:pt>
                <c:pt idx="6">
                  <c:v>Priya Reddy</c:v>
                </c:pt>
                <c:pt idx="7">
                  <c:v>Rahul Sharma</c:v>
                </c:pt>
                <c:pt idx="8">
                  <c:v>Rohan Reddy</c:v>
                </c:pt>
                <c:pt idx="9">
                  <c:v>Yash Mehta</c:v>
                </c:pt>
              </c:strCache>
            </c:strRef>
          </c:cat>
          <c:val>
            <c:numRef>
              <c:f>Sheet2!$D$4:$D$14</c:f>
              <c:numCache>
                <c:formatCode>General</c:formatCode>
                <c:ptCount val="10"/>
                <c:pt idx="0">
                  <c:v>88</c:v>
                </c:pt>
                <c:pt idx="1">
                  <c:v>87</c:v>
                </c:pt>
                <c:pt idx="2">
                  <c:v>90</c:v>
                </c:pt>
                <c:pt idx="3">
                  <c:v>94</c:v>
                </c:pt>
                <c:pt idx="4">
                  <c:v>82</c:v>
                </c:pt>
                <c:pt idx="5">
                  <c:v>85.5</c:v>
                </c:pt>
                <c:pt idx="6">
                  <c:v>82</c:v>
                </c:pt>
                <c:pt idx="7">
                  <c:v>100</c:v>
                </c:pt>
                <c:pt idx="8">
                  <c:v>86</c:v>
                </c:pt>
                <c:pt idx="9">
                  <c:v>100</c:v>
                </c:pt>
              </c:numCache>
            </c:numRef>
          </c:val>
          <c:extLst>
            <c:ext xmlns:c16="http://schemas.microsoft.com/office/drawing/2014/chart" uri="{C3380CC4-5D6E-409C-BE32-E72D297353CC}">
              <c16:uniqueId val="{00000002-6824-4EBA-880D-59E0698F585F}"/>
            </c:ext>
          </c:extLst>
        </c:ser>
        <c:dLbls>
          <c:showLegendKey val="0"/>
          <c:showVal val="0"/>
          <c:showCatName val="0"/>
          <c:showSerName val="0"/>
          <c:showPercent val="0"/>
          <c:showBubbleSize val="0"/>
        </c:dLbls>
        <c:gapWidth val="65"/>
        <c:axId val="1021283760"/>
        <c:axId val="1440246688"/>
      </c:barChart>
      <c:catAx>
        <c:axId val="102128376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crossAx val="1440246688"/>
        <c:crosses val="autoZero"/>
        <c:auto val="1"/>
        <c:lblAlgn val="ctr"/>
        <c:lblOffset val="100"/>
        <c:noMultiLvlLbl val="0"/>
      </c:catAx>
      <c:valAx>
        <c:axId val="1440246688"/>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2128376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[Operations_Workforce_MIS_Dataset_Enhanced.xlsm]Pivot_Analysis!PivotTable1</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Pivot_Analysis!$B$3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FF2-41F2-8DF7-F89DDDEB6CB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FF2-41F2-8DF7-F89DDDEB6CB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FF2-41F2-8DF7-F89DDDEB6CB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FF2-41F2-8DF7-F89DDDEB6CB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FF2-41F2-8DF7-F89DDDEB6CB6}"/>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AFF2-41F2-8DF7-F89DDDEB6CB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Pivot_Analysis!$A$4:$A$10</c:f>
              <c:strCache>
                <c:ptCount val="6"/>
                <c:pt idx="0">
                  <c:v>Customer Support</c:v>
                </c:pt>
                <c:pt idx="1">
                  <c:v>Finance</c:v>
                </c:pt>
                <c:pt idx="2">
                  <c:v>HR</c:v>
                </c:pt>
                <c:pt idx="3">
                  <c:v>IT</c:v>
                </c:pt>
                <c:pt idx="4">
                  <c:v>Operations</c:v>
                </c:pt>
                <c:pt idx="5">
                  <c:v>Quality</c:v>
                </c:pt>
              </c:strCache>
            </c:strRef>
          </c:cat>
          <c:val>
            <c:numRef>
              <c:f>Pivot_Analysis!$B$4:$B$10</c:f>
              <c:numCache>
                <c:formatCode>General</c:formatCode>
                <c:ptCount val="6"/>
                <c:pt idx="0">
                  <c:v>80</c:v>
                </c:pt>
                <c:pt idx="1">
                  <c:v>84</c:v>
                </c:pt>
                <c:pt idx="2">
                  <c:v>85</c:v>
                </c:pt>
                <c:pt idx="3">
                  <c:v>100</c:v>
                </c:pt>
                <c:pt idx="4">
                  <c:v>72</c:v>
                </c:pt>
                <c:pt idx="5">
                  <c:v>79</c:v>
                </c:pt>
              </c:numCache>
            </c:numRef>
          </c:val>
          <c:extLst>
            <c:ext xmlns:c16="http://schemas.microsoft.com/office/drawing/2014/chart" uri="{C3380CC4-5D6E-409C-BE32-E72D297353CC}">
              <c16:uniqueId val="{0000000C-AFF2-41F2-8DF7-F89DDDEB6CB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image" Target="../media/image9.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image" Target="../media/image8.svg"/><Relationship Id="rId5" Type="http://schemas.openxmlformats.org/officeDocument/2006/relationships/chart" Target="../charts/chart1.xml"/><Relationship Id="rId15" Type="http://schemas.openxmlformats.org/officeDocument/2006/relationships/image" Target="../media/image12.svg"/><Relationship Id="rId10" Type="http://schemas.openxmlformats.org/officeDocument/2006/relationships/image" Target="../media/image7.png"/><Relationship Id="rId4" Type="http://schemas.openxmlformats.org/officeDocument/2006/relationships/image" Target="../media/image4.svg"/><Relationship Id="rId9" Type="http://schemas.openxmlformats.org/officeDocument/2006/relationships/image" Target="../media/image6.sv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16</xdr:col>
      <xdr:colOff>34635</xdr:colOff>
      <xdr:row>6</xdr:row>
      <xdr:rowOff>173181</xdr:rowOff>
    </xdr:from>
    <xdr:to>
      <xdr:col>17</xdr:col>
      <xdr:colOff>138544</xdr:colOff>
      <xdr:row>10</xdr:row>
      <xdr:rowOff>86591</xdr:rowOff>
    </xdr:to>
    <xdr:sp macro="" textlink="">
      <xdr:nvSpPr>
        <xdr:cNvPr id="26" name="Flowchart: Connector 25">
          <a:extLst>
            <a:ext uri="{FF2B5EF4-FFF2-40B4-BE49-F238E27FC236}">
              <a16:creationId xmlns:a16="http://schemas.microsoft.com/office/drawing/2014/main" id="{D8159411-8E8B-4694-A233-A23940628D1B}"/>
            </a:ext>
          </a:extLst>
        </xdr:cNvPr>
        <xdr:cNvSpPr/>
      </xdr:nvSpPr>
      <xdr:spPr>
        <a:xfrm>
          <a:off x="9732817" y="1281545"/>
          <a:ext cx="710045" cy="640773"/>
        </a:xfrm>
        <a:prstGeom prst="flowChartConnector">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580159</xdr:colOff>
      <xdr:row>7</xdr:row>
      <xdr:rowOff>25978</xdr:rowOff>
    </xdr:from>
    <xdr:to>
      <xdr:col>7</xdr:col>
      <xdr:colOff>77931</xdr:colOff>
      <xdr:row>10</xdr:row>
      <xdr:rowOff>121229</xdr:rowOff>
    </xdr:to>
    <xdr:sp macro="" textlink="">
      <xdr:nvSpPr>
        <xdr:cNvPr id="21" name="Flowchart: Connector 20">
          <a:extLst>
            <a:ext uri="{FF2B5EF4-FFF2-40B4-BE49-F238E27FC236}">
              <a16:creationId xmlns:a16="http://schemas.microsoft.com/office/drawing/2014/main" id="{9EFC37FC-0135-48EC-86A4-387FEF0F8B88}"/>
            </a:ext>
          </a:extLst>
        </xdr:cNvPr>
        <xdr:cNvSpPr/>
      </xdr:nvSpPr>
      <xdr:spPr>
        <a:xfrm>
          <a:off x="3610841" y="1316183"/>
          <a:ext cx="710045" cy="640773"/>
        </a:xfrm>
        <a:prstGeom prst="flowChartConnector">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112569</xdr:colOff>
      <xdr:row>7</xdr:row>
      <xdr:rowOff>25977</xdr:rowOff>
    </xdr:from>
    <xdr:to>
      <xdr:col>2</xdr:col>
      <xdr:colOff>216477</xdr:colOff>
      <xdr:row>10</xdr:row>
      <xdr:rowOff>121228</xdr:rowOff>
    </xdr:to>
    <xdr:sp macro="" textlink="">
      <xdr:nvSpPr>
        <xdr:cNvPr id="18" name="Flowchart: Connector 17">
          <a:extLst>
            <a:ext uri="{FF2B5EF4-FFF2-40B4-BE49-F238E27FC236}">
              <a16:creationId xmlns:a16="http://schemas.microsoft.com/office/drawing/2014/main" id="{B7B121BA-980A-3501-C29C-05D085C62EA2}"/>
            </a:ext>
          </a:extLst>
        </xdr:cNvPr>
        <xdr:cNvSpPr/>
      </xdr:nvSpPr>
      <xdr:spPr>
        <a:xfrm>
          <a:off x="718705" y="1316182"/>
          <a:ext cx="710045" cy="640773"/>
        </a:xfrm>
        <a:prstGeom prst="flowChartConnector">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91440</xdr:colOff>
      <xdr:row>0</xdr:row>
      <xdr:rowOff>83820</xdr:rowOff>
    </xdr:from>
    <xdr:to>
      <xdr:col>1</xdr:col>
      <xdr:colOff>83820</xdr:colOff>
      <xdr:row>3</xdr:row>
      <xdr:rowOff>137160</xdr:rowOff>
    </xdr:to>
    <xdr:pic>
      <xdr:nvPicPr>
        <xdr:cNvPr id="3" name="Graphic 2" descr="Users with solid fill">
          <a:extLst>
            <a:ext uri="{FF2B5EF4-FFF2-40B4-BE49-F238E27FC236}">
              <a16:creationId xmlns:a16="http://schemas.microsoft.com/office/drawing/2014/main" id="{F3BE2167-87CA-0BB9-E085-2A3007D51D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1440" y="83820"/>
          <a:ext cx="601980" cy="601980"/>
        </a:xfrm>
        <a:prstGeom prst="rect">
          <a:avLst/>
        </a:prstGeom>
      </xdr:spPr>
    </xdr:pic>
    <xdr:clientData/>
  </xdr:twoCellAnchor>
  <xdr:twoCellAnchor editAs="oneCell">
    <xdr:from>
      <xdr:col>22</xdr:col>
      <xdr:colOff>568292</xdr:colOff>
      <xdr:row>1</xdr:row>
      <xdr:rowOff>46923</xdr:rowOff>
    </xdr:from>
    <xdr:to>
      <xdr:col>23</xdr:col>
      <xdr:colOff>225392</xdr:colOff>
      <xdr:row>2</xdr:row>
      <xdr:rowOff>130743</xdr:rowOff>
    </xdr:to>
    <xdr:pic>
      <xdr:nvPicPr>
        <xdr:cNvPr id="5" name="Graphic 4" descr="Daily calendar with solid fill">
          <a:extLst>
            <a:ext uri="{FF2B5EF4-FFF2-40B4-BE49-F238E27FC236}">
              <a16:creationId xmlns:a16="http://schemas.microsoft.com/office/drawing/2014/main" id="{1CB801A0-DBB8-AEFA-50B4-4C2D850D6A1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979492" y="231407"/>
          <a:ext cx="266700" cy="268304"/>
        </a:xfrm>
        <a:prstGeom prst="rect">
          <a:avLst/>
        </a:prstGeom>
      </xdr:spPr>
    </xdr:pic>
    <xdr:clientData/>
  </xdr:twoCellAnchor>
  <xdr:twoCellAnchor>
    <xdr:from>
      <xdr:col>21</xdr:col>
      <xdr:colOff>259080</xdr:colOff>
      <xdr:row>0</xdr:row>
      <xdr:rowOff>144379</xdr:rowOff>
    </xdr:from>
    <xdr:to>
      <xdr:col>22</xdr:col>
      <xdr:colOff>579120</xdr:colOff>
      <xdr:row>3</xdr:row>
      <xdr:rowOff>129540</xdr:rowOff>
    </xdr:to>
    <xdr:sp macro="" textlink="">
      <xdr:nvSpPr>
        <xdr:cNvPr id="6" name="TextBox 5">
          <a:extLst>
            <a:ext uri="{FF2B5EF4-FFF2-40B4-BE49-F238E27FC236}">
              <a16:creationId xmlns:a16="http://schemas.microsoft.com/office/drawing/2014/main" id="{B2C90168-313F-0D57-1435-3B99DEAF5C9D}"/>
            </a:ext>
          </a:extLst>
        </xdr:cNvPr>
        <xdr:cNvSpPr txBox="1"/>
      </xdr:nvSpPr>
      <xdr:spPr>
        <a:xfrm>
          <a:off x="13060680" y="144379"/>
          <a:ext cx="929640" cy="538614"/>
        </a:xfrm>
        <a:prstGeom prst="rect">
          <a:avLst/>
        </a:prstGeom>
        <a:solidFill>
          <a:schemeClr val="tx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n-IN" sz="1100">
              <a:solidFill>
                <a:schemeClr val="bg2"/>
              </a:solidFill>
            </a:rPr>
            <a:t>Data</a:t>
          </a:r>
          <a:r>
            <a:rPr lang="en-IN" sz="1100" baseline="0">
              <a:solidFill>
                <a:schemeClr val="bg2"/>
              </a:solidFill>
            </a:rPr>
            <a:t> as on : 08 May 2025</a:t>
          </a:r>
          <a:endParaRPr lang="en-IN" sz="1100">
            <a:solidFill>
              <a:schemeClr val="bg2"/>
            </a:solidFill>
          </a:endParaRPr>
        </a:p>
      </xdr:txBody>
    </xdr:sp>
    <xdr:clientData/>
  </xdr:twoCellAnchor>
  <xdr:twoCellAnchor>
    <xdr:from>
      <xdr:col>0</xdr:col>
      <xdr:colOff>225364</xdr:colOff>
      <xdr:row>14</xdr:row>
      <xdr:rowOff>26582</xdr:rowOff>
    </xdr:from>
    <xdr:to>
      <xdr:col>7</xdr:col>
      <xdr:colOff>51429</xdr:colOff>
      <xdr:row>26</xdr:row>
      <xdr:rowOff>175669</xdr:rowOff>
    </xdr:to>
    <xdr:graphicFrame macro="">
      <xdr:nvGraphicFramePr>
        <xdr:cNvPr id="9" name="Chart 8">
          <a:extLst>
            <a:ext uri="{FF2B5EF4-FFF2-40B4-BE49-F238E27FC236}">
              <a16:creationId xmlns:a16="http://schemas.microsoft.com/office/drawing/2014/main" id="{565E7A9B-A5EC-4A8B-AE01-D1D2BBC56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311727</xdr:colOff>
      <xdr:row>14</xdr:row>
      <xdr:rowOff>25977</xdr:rowOff>
    </xdr:from>
    <xdr:to>
      <xdr:col>14</xdr:col>
      <xdr:colOff>279408</xdr:colOff>
      <xdr:row>26</xdr:row>
      <xdr:rowOff>167043</xdr:rowOff>
    </xdr:to>
    <xdr:graphicFrame macro="">
      <xdr:nvGraphicFramePr>
        <xdr:cNvPr id="10" name="Chart 9">
          <a:extLst>
            <a:ext uri="{FF2B5EF4-FFF2-40B4-BE49-F238E27FC236}">
              <a16:creationId xmlns:a16="http://schemas.microsoft.com/office/drawing/2014/main" id="{A29FFCD8-75D4-4FEA-A404-6339BE700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3823</xdr:colOff>
      <xdr:row>13</xdr:row>
      <xdr:rowOff>184392</xdr:rowOff>
    </xdr:from>
    <xdr:to>
      <xdr:col>21</xdr:col>
      <xdr:colOff>565296</xdr:colOff>
      <xdr:row>26</xdr:row>
      <xdr:rowOff>142701</xdr:rowOff>
    </xdr:to>
    <xdr:graphicFrame macro="">
      <xdr:nvGraphicFramePr>
        <xdr:cNvPr id="11" name="Chart 10">
          <a:extLst>
            <a:ext uri="{FF2B5EF4-FFF2-40B4-BE49-F238E27FC236}">
              <a16:creationId xmlns:a16="http://schemas.microsoft.com/office/drawing/2014/main" id="{42533FCC-4898-4B90-AF7B-798D7541DA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22</xdr:col>
      <xdr:colOff>271964</xdr:colOff>
      <xdr:row>14</xdr:row>
      <xdr:rowOff>162458</xdr:rowOff>
    </xdr:from>
    <xdr:to>
      <xdr:col>25</xdr:col>
      <xdr:colOff>265298</xdr:colOff>
      <xdr:row>25</xdr:row>
      <xdr:rowOff>122972</xdr:rowOff>
    </xdr:to>
    <mc:AlternateContent xmlns:mc="http://schemas.openxmlformats.org/markup-compatibility/2006">
      <mc:Choice xmlns:a14="http://schemas.microsoft.com/office/drawing/2010/main" Requires="a14">
        <xdr:graphicFrame macro="">
          <xdr:nvGraphicFramePr>
            <xdr:cNvPr id="2" name="Department">
              <a:extLst>
                <a:ext uri="{FF2B5EF4-FFF2-40B4-BE49-F238E27FC236}">
                  <a16:creationId xmlns:a16="http://schemas.microsoft.com/office/drawing/2014/main" id="{977E0027-7380-4D09-E1DC-80B054DF158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3606964" y="2725549"/>
              <a:ext cx="1811743" cy="19607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231089</xdr:colOff>
      <xdr:row>8</xdr:row>
      <xdr:rowOff>270</xdr:rowOff>
    </xdr:from>
    <xdr:to>
      <xdr:col>2</xdr:col>
      <xdr:colOff>103909</xdr:colOff>
      <xdr:row>9</xdr:row>
      <xdr:rowOff>155864</xdr:rowOff>
    </xdr:to>
    <xdr:grpSp>
      <xdr:nvGrpSpPr>
        <xdr:cNvPr id="8" name="Graphic 6" descr="Users with solid fill">
          <a:extLst>
            <a:ext uri="{FF2B5EF4-FFF2-40B4-BE49-F238E27FC236}">
              <a16:creationId xmlns:a16="http://schemas.microsoft.com/office/drawing/2014/main" id="{1B27F6F6-8BBC-D3A1-EEAE-53E945C14762}"/>
            </a:ext>
          </a:extLst>
        </xdr:cNvPr>
        <xdr:cNvGrpSpPr/>
      </xdr:nvGrpSpPr>
      <xdr:grpSpPr>
        <a:xfrm>
          <a:off x="837225" y="1472315"/>
          <a:ext cx="478957" cy="337435"/>
          <a:chOff x="854543" y="1446338"/>
          <a:chExt cx="568252" cy="354481"/>
        </a:xfrm>
        <a:solidFill>
          <a:srgbClr val="000000"/>
        </a:solidFill>
      </xdr:grpSpPr>
      <xdr:sp macro="" textlink="">
        <xdr:nvSpPr>
          <xdr:cNvPr id="12" name="Oval 11">
            <a:extLst>
              <a:ext uri="{FF2B5EF4-FFF2-40B4-BE49-F238E27FC236}">
                <a16:creationId xmlns:a16="http://schemas.microsoft.com/office/drawing/2014/main" id="{D9533108-B4D0-5FEE-F660-4DDFD8672599}"/>
              </a:ext>
            </a:extLst>
          </xdr:cNvPr>
          <xdr:cNvSpPr/>
        </xdr:nvSpPr>
        <xdr:spPr>
          <a:xfrm>
            <a:off x="915427" y="1446338"/>
            <a:ext cx="121768" cy="121768"/>
          </a:xfrm>
          <a:prstGeom prst="ellipse">
            <a:avLst/>
          </a:prstGeom>
          <a:solidFill>
            <a:srgbClr val="000000"/>
          </a:solidFill>
          <a:ln w="6747" cap="flat">
            <a:noFill/>
            <a:prstDash val="solid"/>
            <a:miter/>
          </a:ln>
        </xdr:spPr>
      </xdr:sp>
      <xdr:sp macro="" textlink="">
        <xdr:nvSpPr>
          <xdr:cNvPr id="13" name="Oval 12">
            <a:extLst>
              <a:ext uri="{FF2B5EF4-FFF2-40B4-BE49-F238E27FC236}">
                <a16:creationId xmlns:a16="http://schemas.microsoft.com/office/drawing/2014/main" id="{FB7D3963-9E3C-71A3-E550-9E150A1C808F}"/>
              </a:ext>
            </a:extLst>
          </xdr:cNvPr>
          <xdr:cNvSpPr/>
        </xdr:nvSpPr>
        <xdr:spPr>
          <a:xfrm>
            <a:off x="1240143" y="1446338"/>
            <a:ext cx="121768" cy="121768"/>
          </a:xfrm>
          <a:prstGeom prst="ellipse">
            <a:avLst/>
          </a:prstGeom>
          <a:solidFill>
            <a:srgbClr val="000000"/>
          </a:solidFill>
          <a:ln w="6747" cap="flat">
            <a:noFill/>
            <a:prstDash val="solid"/>
            <a:miter/>
          </a:ln>
        </xdr:spPr>
      </xdr:sp>
      <xdr:sp macro="" textlink="">
        <xdr:nvSpPr>
          <xdr:cNvPr id="14" name="Freeform: Shape 13">
            <a:extLst>
              <a:ext uri="{FF2B5EF4-FFF2-40B4-BE49-F238E27FC236}">
                <a16:creationId xmlns:a16="http://schemas.microsoft.com/office/drawing/2014/main" id="{99B9DAF3-0081-C578-14D0-85D75080EB14}"/>
              </a:ext>
            </a:extLst>
          </xdr:cNvPr>
          <xdr:cNvSpPr/>
        </xdr:nvSpPr>
        <xdr:spPr>
          <a:xfrm>
            <a:off x="1016901" y="1679051"/>
            <a:ext cx="243536" cy="121768"/>
          </a:xfrm>
          <a:custGeom>
            <a:avLst/>
            <a:gdLst>
              <a:gd name="csX0" fmla="*/ 243537 w 243536"/>
              <a:gd name="csY0" fmla="*/ 121768 h 121768"/>
              <a:gd name="csX1" fmla="*/ 243537 w 243536"/>
              <a:gd name="csY1" fmla="*/ 60884 h 121768"/>
              <a:gd name="csX2" fmla="*/ 231360 w 243536"/>
              <a:gd name="csY2" fmla="*/ 36530 h 121768"/>
              <a:gd name="csX3" fmla="*/ 171829 w 243536"/>
              <a:gd name="csY3" fmla="*/ 8118 h 121768"/>
              <a:gd name="csX4" fmla="*/ 121768 w 243536"/>
              <a:gd name="csY4" fmla="*/ 0 h 121768"/>
              <a:gd name="csX5" fmla="*/ 71708 w 243536"/>
              <a:gd name="csY5" fmla="*/ 8118 h 121768"/>
              <a:gd name="csX6" fmla="*/ 12177 w 243536"/>
              <a:gd name="csY6" fmla="*/ 36530 h 121768"/>
              <a:gd name="csX7" fmla="*/ 0 w 243536"/>
              <a:gd name="csY7" fmla="*/ 60884 h 121768"/>
              <a:gd name="csX8" fmla="*/ 0 w 243536"/>
              <a:gd name="csY8" fmla="*/ 121768 h 121768"/>
              <a:gd name="csX9" fmla="*/ 243537 w 243536"/>
              <a:gd name="csY9" fmla="*/ 121768 h 12176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Lst>
            <a:rect l="l" t="t" r="r" b="b"/>
            <a:pathLst>
              <a:path w="243536" h="121768">
                <a:moveTo>
                  <a:pt x="243537" y="121768"/>
                </a:moveTo>
                <a:lnTo>
                  <a:pt x="243537" y="60884"/>
                </a:lnTo>
                <a:cubicBezTo>
                  <a:pt x="243537" y="51413"/>
                  <a:pt x="239478" y="41942"/>
                  <a:pt x="231360" y="36530"/>
                </a:cubicBezTo>
                <a:cubicBezTo>
                  <a:pt x="215124" y="23001"/>
                  <a:pt x="193476" y="13530"/>
                  <a:pt x="171829" y="8118"/>
                </a:cubicBezTo>
                <a:cubicBezTo>
                  <a:pt x="156946" y="4059"/>
                  <a:pt x="139357" y="0"/>
                  <a:pt x="121768" y="0"/>
                </a:cubicBezTo>
                <a:cubicBezTo>
                  <a:pt x="105533" y="0"/>
                  <a:pt x="87944" y="2706"/>
                  <a:pt x="71708" y="8118"/>
                </a:cubicBezTo>
                <a:cubicBezTo>
                  <a:pt x="50060" y="13530"/>
                  <a:pt x="29766" y="24354"/>
                  <a:pt x="12177" y="36530"/>
                </a:cubicBezTo>
                <a:cubicBezTo>
                  <a:pt x="4059" y="43295"/>
                  <a:pt x="0" y="51413"/>
                  <a:pt x="0" y="60884"/>
                </a:cubicBezTo>
                <a:lnTo>
                  <a:pt x="0" y="121768"/>
                </a:lnTo>
                <a:lnTo>
                  <a:pt x="243537" y="121768"/>
                </a:lnTo>
                <a:close/>
              </a:path>
            </a:pathLst>
          </a:custGeom>
          <a:solidFill>
            <a:srgbClr val="000000"/>
          </a:solidFill>
          <a:ln w="6747" cap="flat">
            <a:noFill/>
            <a:prstDash val="solid"/>
            <a:miter/>
          </a:ln>
        </xdr:spPr>
      </xdr:sp>
      <xdr:sp macro="" textlink="">
        <xdr:nvSpPr>
          <xdr:cNvPr id="15" name="Oval 14">
            <a:extLst>
              <a:ext uri="{FF2B5EF4-FFF2-40B4-BE49-F238E27FC236}">
                <a16:creationId xmlns:a16="http://schemas.microsoft.com/office/drawing/2014/main" id="{A1E04362-2820-92DA-FECE-2B01BDB9815C}"/>
              </a:ext>
            </a:extLst>
          </xdr:cNvPr>
          <xdr:cNvSpPr/>
        </xdr:nvSpPr>
        <xdr:spPr>
          <a:xfrm>
            <a:off x="1077785" y="1541047"/>
            <a:ext cx="121768" cy="121768"/>
          </a:xfrm>
          <a:prstGeom prst="ellipse">
            <a:avLst/>
          </a:prstGeom>
          <a:solidFill>
            <a:srgbClr val="000000"/>
          </a:solidFill>
          <a:ln w="6747" cap="flat">
            <a:noFill/>
            <a:prstDash val="solid"/>
            <a:miter/>
          </a:ln>
        </xdr:spPr>
      </xdr:sp>
      <xdr:sp macro="" textlink="">
        <xdr:nvSpPr>
          <xdr:cNvPr id="16" name="Freeform: Shape 15">
            <a:extLst>
              <a:ext uri="{FF2B5EF4-FFF2-40B4-BE49-F238E27FC236}">
                <a16:creationId xmlns:a16="http://schemas.microsoft.com/office/drawing/2014/main" id="{A56D22A1-FF5F-E6FD-CE46-35BC1C25158E}"/>
              </a:ext>
            </a:extLst>
          </xdr:cNvPr>
          <xdr:cNvSpPr/>
        </xdr:nvSpPr>
        <xdr:spPr>
          <a:xfrm>
            <a:off x="1202259" y="1584343"/>
            <a:ext cx="220535" cy="121768"/>
          </a:xfrm>
          <a:custGeom>
            <a:avLst/>
            <a:gdLst>
              <a:gd name="csX0" fmla="*/ 208359 w 220535"/>
              <a:gd name="csY0" fmla="*/ 36530 h 121768"/>
              <a:gd name="csX1" fmla="*/ 148828 w 220535"/>
              <a:gd name="csY1" fmla="*/ 8118 h 121768"/>
              <a:gd name="csX2" fmla="*/ 98768 w 220535"/>
              <a:gd name="csY2" fmla="*/ 0 h 121768"/>
              <a:gd name="csX3" fmla="*/ 48707 w 220535"/>
              <a:gd name="csY3" fmla="*/ 8118 h 121768"/>
              <a:gd name="csX4" fmla="*/ 24354 w 220535"/>
              <a:gd name="csY4" fmla="*/ 17589 h 121768"/>
              <a:gd name="csX5" fmla="*/ 24354 w 220535"/>
              <a:gd name="csY5" fmla="*/ 18942 h 121768"/>
              <a:gd name="csX6" fmla="*/ 0 w 220535"/>
              <a:gd name="csY6" fmla="*/ 78473 h 121768"/>
              <a:gd name="csX7" fmla="*/ 62237 w 220535"/>
              <a:gd name="csY7" fmla="*/ 109591 h 121768"/>
              <a:gd name="csX8" fmla="*/ 73061 w 220535"/>
              <a:gd name="csY8" fmla="*/ 121768 h 121768"/>
              <a:gd name="csX9" fmla="*/ 220536 w 220535"/>
              <a:gd name="csY9" fmla="*/ 121768 h 121768"/>
              <a:gd name="csX10" fmla="*/ 220536 w 220535"/>
              <a:gd name="csY10" fmla="*/ 60884 h 121768"/>
              <a:gd name="csX11" fmla="*/ 208359 w 220535"/>
              <a:gd name="csY11" fmla="*/ 36530 h 12176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220535" h="121768">
                <a:moveTo>
                  <a:pt x="208359" y="36530"/>
                </a:moveTo>
                <a:cubicBezTo>
                  <a:pt x="192123" y="23001"/>
                  <a:pt x="170476" y="13530"/>
                  <a:pt x="148828" y="8118"/>
                </a:cubicBezTo>
                <a:cubicBezTo>
                  <a:pt x="133945" y="4059"/>
                  <a:pt x="116356" y="0"/>
                  <a:pt x="98768" y="0"/>
                </a:cubicBezTo>
                <a:cubicBezTo>
                  <a:pt x="82532" y="0"/>
                  <a:pt x="64943" y="2706"/>
                  <a:pt x="48707" y="8118"/>
                </a:cubicBezTo>
                <a:cubicBezTo>
                  <a:pt x="40589" y="10824"/>
                  <a:pt x="32472" y="13530"/>
                  <a:pt x="24354" y="17589"/>
                </a:cubicBezTo>
                <a:lnTo>
                  <a:pt x="24354" y="18942"/>
                </a:lnTo>
                <a:cubicBezTo>
                  <a:pt x="24354" y="41942"/>
                  <a:pt x="14883" y="63590"/>
                  <a:pt x="0" y="78473"/>
                </a:cubicBezTo>
                <a:cubicBezTo>
                  <a:pt x="25707" y="86591"/>
                  <a:pt x="46001" y="97415"/>
                  <a:pt x="62237" y="109591"/>
                </a:cubicBezTo>
                <a:cubicBezTo>
                  <a:pt x="66296" y="113650"/>
                  <a:pt x="70355" y="116356"/>
                  <a:pt x="73061" y="121768"/>
                </a:cubicBezTo>
                <a:lnTo>
                  <a:pt x="220536" y="121768"/>
                </a:lnTo>
                <a:lnTo>
                  <a:pt x="220536" y="60884"/>
                </a:lnTo>
                <a:cubicBezTo>
                  <a:pt x="220536" y="51413"/>
                  <a:pt x="216477" y="41942"/>
                  <a:pt x="208359" y="36530"/>
                </a:cubicBezTo>
                <a:close/>
              </a:path>
            </a:pathLst>
          </a:custGeom>
          <a:solidFill>
            <a:srgbClr val="000000"/>
          </a:solidFill>
          <a:ln w="6747" cap="flat">
            <a:noFill/>
            <a:prstDash val="solid"/>
            <a:miter/>
          </a:ln>
        </xdr:spPr>
      </xdr:sp>
      <xdr:sp macro="" textlink="">
        <xdr:nvSpPr>
          <xdr:cNvPr id="17" name="Freeform: Shape 16">
            <a:extLst>
              <a:ext uri="{FF2B5EF4-FFF2-40B4-BE49-F238E27FC236}">
                <a16:creationId xmlns:a16="http://schemas.microsoft.com/office/drawing/2014/main" id="{07163887-0176-69BE-E471-94F592E35B19}"/>
              </a:ext>
            </a:extLst>
          </xdr:cNvPr>
          <xdr:cNvSpPr/>
        </xdr:nvSpPr>
        <xdr:spPr>
          <a:xfrm>
            <a:off x="854543" y="1584343"/>
            <a:ext cx="220535" cy="121768"/>
          </a:xfrm>
          <a:custGeom>
            <a:avLst/>
            <a:gdLst>
              <a:gd name="csX0" fmla="*/ 158299 w 220535"/>
              <a:gd name="csY0" fmla="*/ 109591 h 121768"/>
              <a:gd name="csX1" fmla="*/ 158299 w 220535"/>
              <a:gd name="csY1" fmla="*/ 109591 h 121768"/>
              <a:gd name="csX2" fmla="*/ 220536 w 220535"/>
              <a:gd name="csY2" fmla="*/ 78473 h 121768"/>
              <a:gd name="csX3" fmla="*/ 196182 w 220535"/>
              <a:gd name="csY3" fmla="*/ 18942 h 121768"/>
              <a:gd name="csX4" fmla="*/ 196182 w 220535"/>
              <a:gd name="csY4" fmla="*/ 16236 h 121768"/>
              <a:gd name="csX5" fmla="*/ 171829 w 220535"/>
              <a:gd name="csY5" fmla="*/ 8118 h 121768"/>
              <a:gd name="csX6" fmla="*/ 121768 w 220535"/>
              <a:gd name="csY6" fmla="*/ 0 h 121768"/>
              <a:gd name="csX7" fmla="*/ 71708 w 220535"/>
              <a:gd name="csY7" fmla="*/ 8118 h 121768"/>
              <a:gd name="csX8" fmla="*/ 12177 w 220535"/>
              <a:gd name="csY8" fmla="*/ 36530 h 121768"/>
              <a:gd name="csX9" fmla="*/ 0 w 220535"/>
              <a:gd name="csY9" fmla="*/ 60884 h 121768"/>
              <a:gd name="csX10" fmla="*/ 0 w 220535"/>
              <a:gd name="csY10" fmla="*/ 121768 h 121768"/>
              <a:gd name="csX11" fmla="*/ 146122 w 220535"/>
              <a:gd name="csY11" fmla="*/ 121768 h 121768"/>
              <a:gd name="csX12" fmla="*/ 158299 w 220535"/>
              <a:gd name="csY12" fmla="*/ 109591 h 12176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Lst>
            <a:rect l="l" t="t" r="r" b="b"/>
            <a:pathLst>
              <a:path w="220535" h="121768">
                <a:moveTo>
                  <a:pt x="158299" y="109591"/>
                </a:moveTo>
                <a:lnTo>
                  <a:pt x="158299" y="109591"/>
                </a:lnTo>
                <a:cubicBezTo>
                  <a:pt x="177241" y="96062"/>
                  <a:pt x="198888" y="85238"/>
                  <a:pt x="220536" y="78473"/>
                </a:cubicBezTo>
                <a:cubicBezTo>
                  <a:pt x="205653" y="62237"/>
                  <a:pt x="196182" y="41942"/>
                  <a:pt x="196182" y="18942"/>
                </a:cubicBezTo>
                <a:cubicBezTo>
                  <a:pt x="196182" y="17589"/>
                  <a:pt x="196182" y="17589"/>
                  <a:pt x="196182" y="16236"/>
                </a:cubicBezTo>
                <a:cubicBezTo>
                  <a:pt x="188064" y="13530"/>
                  <a:pt x="179947" y="9471"/>
                  <a:pt x="171829" y="8118"/>
                </a:cubicBezTo>
                <a:cubicBezTo>
                  <a:pt x="156946" y="4059"/>
                  <a:pt x="139357" y="0"/>
                  <a:pt x="121768" y="0"/>
                </a:cubicBezTo>
                <a:cubicBezTo>
                  <a:pt x="105533" y="0"/>
                  <a:pt x="87944" y="2706"/>
                  <a:pt x="71708" y="8118"/>
                </a:cubicBezTo>
                <a:cubicBezTo>
                  <a:pt x="50060" y="14883"/>
                  <a:pt x="29766" y="24354"/>
                  <a:pt x="12177" y="36530"/>
                </a:cubicBezTo>
                <a:cubicBezTo>
                  <a:pt x="4059" y="41942"/>
                  <a:pt x="0" y="51413"/>
                  <a:pt x="0" y="60884"/>
                </a:cubicBezTo>
                <a:lnTo>
                  <a:pt x="0" y="121768"/>
                </a:lnTo>
                <a:lnTo>
                  <a:pt x="146122" y="121768"/>
                </a:lnTo>
                <a:cubicBezTo>
                  <a:pt x="150181" y="116356"/>
                  <a:pt x="152887" y="113650"/>
                  <a:pt x="158299" y="109591"/>
                </a:cubicBezTo>
                <a:close/>
              </a:path>
            </a:pathLst>
          </a:custGeom>
          <a:solidFill>
            <a:srgbClr val="000000"/>
          </a:solidFill>
          <a:ln w="6747" cap="flat">
            <a:noFill/>
            <a:prstDash val="solid"/>
            <a:miter/>
          </a:ln>
        </xdr:spPr>
      </xdr:sp>
    </xdr:grpSp>
    <xdr:clientData/>
  </xdr:twoCellAnchor>
  <xdr:twoCellAnchor editAs="oneCell">
    <xdr:from>
      <xdr:col>6</xdr:col>
      <xdr:colOff>86590</xdr:colOff>
      <xdr:row>7</xdr:row>
      <xdr:rowOff>60614</xdr:rowOff>
    </xdr:from>
    <xdr:to>
      <xdr:col>7</xdr:col>
      <xdr:colOff>-1</xdr:colOff>
      <xdr:row>10</xdr:row>
      <xdr:rowOff>34638</xdr:rowOff>
    </xdr:to>
    <xdr:pic>
      <xdr:nvPicPr>
        <xdr:cNvPr id="20" name="Graphic 19" descr="Upward trend with solid fill">
          <a:extLst>
            <a:ext uri="{FF2B5EF4-FFF2-40B4-BE49-F238E27FC236}">
              <a16:creationId xmlns:a16="http://schemas.microsoft.com/office/drawing/2014/main" id="{1F3A5624-AD6E-7E76-F96D-8E541E2BC1B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723408" y="1350819"/>
          <a:ext cx="519546" cy="519546"/>
        </a:xfrm>
        <a:prstGeom prst="rect">
          <a:avLst/>
        </a:prstGeom>
      </xdr:spPr>
    </xdr:pic>
    <xdr:clientData/>
  </xdr:twoCellAnchor>
  <xdr:twoCellAnchor editAs="oneCell">
    <xdr:from>
      <xdr:col>10</xdr:col>
      <xdr:colOff>467592</xdr:colOff>
      <xdr:row>6</xdr:row>
      <xdr:rowOff>112569</xdr:rowOff>
    </xdr:from>
    <xdr:to>
      <xdr:col>12</xdr:col>
      <xdr:colOff>43296</xdr:colOff>
      <xdr:row>10</xdr:row>
      <xdr:rowOff>173182</xdr:rowOff>
    </xdr:to>
    <xdr:pic>
      <xdr:nvPicPr>
        <xdr:cNvPr id="23" name="Graphic 22" descr="Bullseye with solid fill">
          <a:extLst>
            <a:ext uri="{FF2B5EF4-FFF2-40B4-BE49-F238E27FC236}">
              <a16:creationId xmlns:a16="http://schemas.microsoft.com/office/drawing/2014/main" id="{681CE1B8-118C-6F49-5F7B-C9BA38B86B7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528956" y="1220933"/>
          <a:ext cx="787976" cy="787976"/>
        </a:xfrm>
        <a:prstGeom prst="rect">
          <a:avLst/>
        </a:prstGeom>
      </xdr:spPr>
    </xdr:pic>
    <xdr:clientData/>
  </xdr:twoCellAnchor>
  <xdr:twoCellAnchor editAs="oneCell">
    <xdr:from>
      <xdr:col>16</xdr:col>
      <xdr:colOff>86590</xdr:colOff>
      <xdr:row>7</xdr:row>
      <xdr:rowOff>8658</xdr:rowOff>
    </xdr:from>
    <xdr:to>
      <xdr:col>17</xdr:col>
      <xdr:colOff>86591</xdr:colOff>
      <xdr:row>10</xdr:row>
      <xdr:rowOff>69273</xdr:rowOff>
    </xdr:to>
    <xdr:pic>
      <xdr:nvPicPr>
        <xdr:cNvPr id="25" name="Graphic 24" descr="Clock with solid fill">
          <a:extLst>
            <a:ext uri="{FF2B5EF4-FFF2-40B4-BE49-F238E27FC236}">
              <a16:creationId xmlns:a16="http://schemas.microsoft.com/office/drawing/2014/main" id="{A1351881-043B-5B4D-8399-594162C3D03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784772" y="1298863"/>
          <a:ext cx="606137" cy="606137"/>
        </a:xfrm>
        <a:prstGeom prst="rect">
          <a:avLst/>
        </a:prstGeom>
      </xdr:spPr>
    </xdr:pic>
    <xdr:clientData/>
  </xdr:twoCellAnchor>
  <xdr:twoCellAnchor editAs="oneCell">
    <xdr:from>
      <xdr:col>21</xdr:col>
      <xdr:colOff>129885</xdr:colOff>
      <xdr:row>6</xdr:row>
      <xdr:rowOff>164523</xdr:rowOff>
    </xdr:from>
    <xdr:to>
      <xdr:col>22</xdr:col>
      <xdr:colOff>147205</xdr:colOff>
      <xdr:row>10</xdr:row>
      <xdr:rowOff>60616</xdr:rowOff>
    </xdr:to>
    <xdr:pic>
      <xdr:nvPicPr>
        <xdr:cNvPr id="28" name="Graphic 27" descr="Warning with solid fill">
          <a:extLst>
            <a:ext uri="{FF2B5EF4-FFF2-40B4-BE49-F238E27FC236}">
              <a16:creationId xmlns:a16="http://schemas.microsoft.com/office/drawing/2014/main" id="{6151E24F-B30E-A9D9-3A97-D655345091B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2858749" y="1272887"/>
          <a:ext cx="623456" cy="623456"/>
        </a:xfrm>
        <a:prstGeom prst="rect">
          <a:avLst/>
        </a:prstGeom>
      </xdr:spPr>
    </xdr:pic>
    <xdr:clientData/>
  </xdr:twoCellAnchor>
  <xdr:twoCellAnchor>
    <xdr:from>
      <xdr:col>0</xdr:col>
      <xdr:colOff>225136</xdr:colOff>
      <xdr:row>12</xdr:row>
      <xdr:rowOff>173182</xdr:rowOff>
    </xdr:from>
    <xdr:to>
      <xdr:col>7</xdr:col>
      <xdr:colOff>51954</xdr:colOff>
      <xdr:row>14</xdr:row>
      <xdr:rowOff>34636</xdr:rowOff>
    </xdr:to>
    <xdr:sp macro="" textlink="">
      <xdr:nvSpPr>
        <xdr:cNvPr id="36" name="Rectangle 35">
          <a:extLst>
            <a:ext uri="{FF2B5EF4-FFF2-40B4-BE49-F238E27FC236}">
              <a16:creationId xmlns:a16="http://schemas.microsoft.com/office/drawing/2014/main" id="{538E70E6-1C52-E206-0613-E9042C813775}"/>
            </a:ext>
          </a:extLst>
        </xdr:cNvPr>
        <xdr:cNvSpPr/>
      </xdr:nvSpPr>
      <xdr:spPr>
        <a:xfrm>
          <a:off x="225136" y="2372591"/>
          <a:ext cx="4069773" cy="225136"/>
        </a:xfrm>
        <a:prstGeom prst="rect">
          <a:avLst/>
        </a:prstGeom>
        <a:solidFill>
          <a:schemeClr val="tx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PRODUCTIVITY</a:t>
          </a:r>
          <a:r>
            <a:rPr lang="en-IN" sz="1100" baseline="0"/>
            <a:t> BY REGION</a:t>
          </a:r>
          <a:endParaRPr lang="en-IN" sz="1100"/>
        </a:p>
      </xdr:txBody>
    </xdr:sp>
    <xdr:clientData/>
  </xdr:twoCellAnchor>
  <xdr:twoCellAnchor>
    <xdr:from>
      <xdr:col>7</xdr:col>
      <xdr:colOff>311727</xdr:colOff>
      <xdr:row>12</xdr:row>
      <xdr:rowOff>173182</xdr:rowOff>
    </xdr:from>
    <xdr:to>
      <xdr:col>14</xdr:col>
      <xdr:colOff>277091</xdr:colOff>
      <xdr:row>14</xdr:row>
      <xdr:rowOff>34635</xdr:rowOff>
    </xdr:to>
    <xdr:sp macro="" textlink="">
      <xdr:nvSpPr>
        <xdr:cNvPr id="38" name="Rectangle 37">
          <a:extLst>
            <a:ext uri="{FF2B5EF4-FFF2-40B4-BE49-F238E27FC236}">
              <a16:creationId xmlns:a16="http://schemas.microsoft.com/office/drawing/2014/main" id="{8A043D45-E86E-4D32-9051-8623F0585B65}"/>
            </a:ext>
          </a:extLst>
        </xdr:cNvPr>
        <xdr:cNvSpPr/>
      </xdr:nvSpPr>
      <xdr:spPr>
        <a:xfrm>
          <a:off x="4554682" y="2372591"/>
          <a:ext cx="4208318" cy="225135"/>
        </a:xfrm>
        <a:prstGeom prst="rect">
          <a:avLst/>
        </a:prstGeom>
        <a:solidFill>
          <a:schemeClr val="tx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EMPLOYEE WISE PRODUCTIVITY ( TOP 10 )</a:t>
          </a:r>
        </a:p>
      </xdr:txBody>
    </xdr:sp>
    <xdr:clientData/>
  </xdr:twoCellAnchor>
  <xdr:twoCellAnchor>
    <xdr:from>
      <xdr:col>15</xdr:col>
      <xdr:colOff>0</xdr:colOff>
      <xdr:row>12</xdr:row>
      <xdr:rowOff>155864</xdr:rowOff>
    </xdr:from>
    <xdr:to>
      <xdr:col>21</xdr:col>
      <xdr:colOff>562841</xdr:colOff>
      <xdr:row>14</xdr:row>
      <xdr:rowOff>8658</xdr:rowOff>
    </xdr:to>
    <xdr:sp macro="" textlink="">
      <xdr:nvSpPr>
        <xdr:cNvPr id="39" name="Rectangle 38">
          <a:extLst>
            <a:ext uri="{FF2B5EF4-FFF2-40B4-BE49-F238E27FC236}">
              <a16:creationId xmlns:a16="http://schemas.microsoft.com/office/drawing/2014/main" id="{FD75649C-C5A8-4F3F-9308-D8FFAF039383}"/>
            </a:ext>
          </a:extLst>
        </xdr:cNvPr>
        <xdr:cNvSpPr/>
      </xdr:nvSpPr>
      <xdr:spPr>
        <a:xfrm>
          <a:off x="9092045" y="2355273"/>
          <a:ext cx="4199660" cy="216476"/>
        </a:xfrm>
        <a:prstGeom prst="rect">
          <a:avLst/>
        </a:prstGeom>
        <a:solidFill>
          <a:schemeClr val="tx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PRODUCTIVITY BY DEPARTMENT </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42.889486805558" backgroundQuery="1" createdVersion="8" refreshedVersion="8" minRefreshableVersion="3" recordCount="0" supportSubquery="1" supportAdvancedDrill="1" xr:uid="{C421DA8E-B45F-4560-81A9-8F15D7C74787}">
  <cacheSource type="external" connectionId="1"/>
  <cacheFields count="2">
    <cacheField name="[Workforce_Data].[Department].[Department]" caption="Department" numFmtId="0" hierarchy="4" level="1">
      <sharedItems count="6">
        <s v="Customer Support"/>
        <s v="Finance"/>
        <s v="HR"/>
        <s v="IT"/>
        <s v="Operations"/>
        <s v="Quality"/>
      </sharedItems>
    </cacheField>
    <cacheField name="[Measures].[Count of Employee ID]" caption="Count of Employee ID" numFmtId="0" hierarchy="36" level="32767"/>
  </cacheFields>
  <cacheHierarchies count="37">
    <cacheHierarchy uniqueName="[Workforce_Data].[Employee ID]" caption="Employee ID" attribute="1" defaultMemberUniqueName="[Workforce_Data].[Employee ID].[All]" allUniqueName="[Workforce_Data].[Employee ID].[All]" dimensionUniqueName="[Workforce_Data]" displayFolder="" count="2" memberValueDatatype="130" unbalanced="0"/>
    <cacheHierarchy uniqueName="[Workforce_Data].[Employee Name]" caption="Employee Name" attribute="1" defaultMemberUniqueName="[Workforce_Data].[Employee Name].[All]" allUniqueName="[Workforce_Data].[Employee Name].[All]" dimensionUniqueName="[Workforce_Data]" displayFolder="" count="2" memberValueDatatype="130" unbalanced="0"/>
    <cacheHierarchy uniqueName="[Workforce_Data].[Gender]" caption="Gender" attribute="1" defaultMemberUniqueName="[Workforce_Data].[Gender].[All]" allUniqueName="[Workforce_Data].[Gender].[All]" dimensionUniqueName="[Workforce_Data]" displayFolder="" count="2" memberValueDatatype="130" unbalanced="0"/>
    <cacheHierarchy uniqueName="[Workforce_Data].[Employment Type]" caption="Employment Type" attribute="1" defaultMemberUniqueName="[Workforce_Data].[Employment Type].[All]" allUniqueName="[Workforce_Data].[Employment Type].[All]" dimensionUniqueName="[Workforce_Data]" displayFolder="" count="2" memberValueDatatype="130" unbalanced="0"/>
    <cacheHierarchy uniqueName="[Workforce_Data].[Department]" caption="Department" attribute="1" defaultMemberUniqueName="[Workforce_Data].[Department].[All]" allUniqueName="[Workforce_Data].[Department].[All]" dimensionUniqueName="[Workforce_Data]" displayFolder="" count="2" memberValueDatatype="130" unbalanced="0">
      <fieldsUsage count="2">
        <fieldUsage x="-1"/>
        <fieldUsage x="0"/>
      </fieldsUsage>
    </cacheHierarchy>
    <cacheHierarchy uniqueName="[Workforce_Data].[Team Lead]" caption="Team Lead" attribute="1" defaultMemberUniqueName="[Workforce_Data].[Team Lead].[All]" allUniqueName="[Workforce_Data].[Team Lead].[All]" dimensionUniqueName="[Workforce_Data]" displayFolder="" count="2" memberValueDatatype="130" unbalanced="0"/>
    <cacheHierarchy uniqueName="[Workforce_Data].[Location]" caption="Location" attribute="1" defaultMemberUniqueName="[Workforce_Data].[Location].[All]" allUniqueName="[Workforce_Data].[Location].[All]" dimensionUniqueName="[Workforce_Data]" displayFolder="" count="2" memberValueDatatype="130" unbalanced="0"/>
    <cacheHierarchy uniqueName="[Workforce_Data].[Shift]" caption="Shift" attribute="1" defaultMemberUniqueName="[Workforce_Data].[Shift].[All]" allUniqueName="[Workforce_Data].[Shift].[All]" dimensionUniqueName="[Workforce_Data]" displayFolder="" count="2" memberValueDatatype="130" unbalanced="0"/>
    <cacheHierarchy uniqueName="[Workforce_Data].[Month]" caption="Month" attribute="1" defaultMemberUniqueName="[Workforce_Data].[Month].[All]" allUniqueName="[Workforce_Data].[Month].[All]" dimensionUniqueName="[Workforce_Data]" displayFolder="" count="2" memberValueDatatype="130" unbalanced="0"/>
    <cacheHierarchy uniqueName="[Workforce_Data].[Attendance %]" caption="Attendance %" attribute="1" defaultMemberUniqueName="[Workforce_Data].[Attendance %].[All]" allUniqueName="[Workforce_Data].[Attendance %].[All]" dimensionUniqueName="[Workforce_Data]" displayFolder="" count="2" memberValueDatatype="20" unbalanced="0"/>
    <cacheHierarchy uniqueName="[Workforce_Data].[Leaves Taken]" caption="Leaves Taken" attribute="1" defaultMemberUniqueName="[Workforce_Data].[Leaves Taken].[All]" allUniqueName="[Workforce_Data].[Leaves Taken].[All]" dimensionUniqueName="[Workforce_Data]" displayFolder="" count="2" memberValueDatatype="20" unbalanced="0"/>
    <cacheHierarchy uniqueName="[Workforce_Data].[Overtime Hours]" caption="Overtime Hours" attribute="1" defaultMemberUniqueName="[Workforce_Data].[Overtime Hours].[All]" allUniqueName="[Workforce_Data].[Overtime Hours].[All]" dimensionUniqueName="[Workforce_Data]" displayFolder="" count="2" memberValueDatatype="20" unbalanced="0"/>
    <cacheHierarchy uniqueName="[Workforce_Data].[Tasks Assigned]" caption="Tasks Assigned" attribute="1" defaultMemberUniqueName="[Workforce_Data].[Tasks Assigned].[All]" allUniqueName="[Workforce_Data].[Tasks Assigned].[All]" dimensionUniqueName="[Workforce_Data]" displayFolder="" count="2" memberValueDatatype="20" unbalanced="0"/>
    <cacheHierarchy uniqueName="[Workforce_Data].[Tasks Completed]" caption="Tasks Completed" attribute="1" defaultMemberUniqueName="[Workforce_Data].[Tasks Completed].[All]" allUniqueName="[Workforce_Data].[Tasks Completed].[All]" dimensionUniqueName="[Workforce_Data]" displayFolder="" count="2" memberValueDatatype="20" unbalanced="0"/>
    <cacheHierarchy uniqueName="[Workforce_Data].[Productivity %]" caption="Productivity %" attribute="1" defaultMemberUniqueName="[Workforce_Data].[Productivity %].[All]" allUniqueName="[Workforce_Data].[Productivity %].[All]" dimensionUniqueName="[Workforce_Data]" displayFolder="" count="2" memberValueDatatype="5" unbalanced="0"/>
    <cacheHierarchy uniqueName="[Workforce_Data].[Quality Score]" caption="Quality Score" attribute="1" defaultMemberUniqueName="[Workforce_Data].[Quality Score].[All]" allUniqueName="[Workforce_Data].[Quality Score].[All]" dimensionUniqueName="[Workforce_Data]" displayFolder="" count="2" memberValueDatatype="5" unbalanced="0"/>
    <cacheHierarchy uniqueName="[Workforce_Data].[Target Achievement %]" caption="Target Achievement %" attribute="1" defaultMemberUniqueName="[Workforce_Data].[Target Achievement %].[All]" allUniqueName="[Workforce_Data].[Target Achievement %].[All]" dimensionUniqueName="[Workforce_Data]" displayFolder="" count="2" memberValueDatatype="5" unbalanced="0"/>
    <cacheHierarchy uniqueName="[Workforce_Data].[CSAT]" caption="CSAT" attribute="1" defaultMemberUniqueName="[Workforce_Data].[CSAT].[All]" allUniqueName="[Workforce_Data].[CSAT].[All]" dimensionUniqueName="[Workforce_Data]" displayFolder="" count="2" memberValueDatatype="5" unbalanced="0"/>
    <cacheHierarchy uniqueName="[Workforce_Data].[AHT (mins)]" caption="AHT (mins)" attribute="1" defaultMemberUniqueName="[Workforce_Data].[AHT (mins)].[All]" allUniqueName="[Workforce_Data].[AHT (mins)].[All]" dimensionUniqueName="[Workforce_Data]" displayFolder="" count="2" memberValueDatatype="5" unbalanced="0"/>
    <cacheHierarchy uniqueName="[Workforce_Data].[SLA Met]" caption="SLA Met" attribute="1" defaultMemberUniqueName="[Workforce_Data].[SLA Met].[All]" allUniqueName="[Workforce_Data].[SLA Met].[All]" dimensionUniqueName="[Workforce_Data]" displayFolder="" count="2" memberValueDatatype="130" unbalanced="0"/>
    <cacheHierarchy uniqueName="[Workforce_Data].[Escalations]" caption="Escalations" attribute="1" defaultMemberUniqueName="[Workforce_Data].[Escalations].[All]" allUniqueName="[Workforce_Data].[Escalations].[All]" dimensionUniqueName="[Workforce_Data]" displayFolder="" count="2" memberValueDatatype="20" unbalanced="0"/>
    <cacheHierarchy uniqueName="[Workforce_Data].[Training Hours]" caption="Training Hours" attribute="1" defaultMemberUniqueName="[Workforce_Data].[Training Hours].[All]" allUniqueName="[Workforce_Data].[Training Hours].[All]" dimensionUniqueName="[Workforce_Data]" displayFolder="" count="2" memberValueDatatype="20" unbalanced="0"/>
    <cacheHierarchy uniqueName="[Measures].[__XL_Count Workforce_Data]" caption="__XL_Count Workforce_Data" measure="1" displayFolder="" measureGroup="Workforce_Data" count="0" hidden="1"/>
    <cacheHierarchy uniqueName="[Measures].[__No measures defined]" caption="__No measures defined" measure="1" displayFolder="" count="0" hidden="1"/>
    <cacheHierarchy uniqueName="[Measures].[Sum of Productivity %]" caption="Sum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Average of Productivity %]" caption="Average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Sum of Attendance %]" caption="Sum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Leaves Taken]" caption="Sum of Leaves Taken" measure="1" displayFolder="" measureGroup="Workforce_Data"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sks Completed]" caption="Sum of Tasks Completed" measure="1" displayFolder="" measureGroup="Workforce_Data" count="0" hidden="1">
      <extLst>
        <ext xmlns:x15="http://schemas.microsoft.com/office/spreadsheetml/2010/11/main" uri="{B97F6D7D-B522-45F9-BDA1-12C45D357490}">
          <x15:cacheHierarchy aggregatedColumn="13"/>
        </ext>
      </extLst>
    </cacheHierarchy>
    <cacheHierarchy uniqueName="[Measures].[Sum of Quality Score]" caption="Sum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Average of Quality Score]" caption="Average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Sum of Overtime Hours]" caption="Sum of Overtime Hours" measure="1" displayFolder="" measureGroup="Workforce_Data" count="0" hidden="1">
      <extLst>
        <ext xmlns:x15="http://schemas.microsoft.com/office/spreadsheetml/2010/11/main" uri="{B97F6D7D-B522-45F9-BDA1-12C45D357490}">
          <x15:cacheHierarchy aggregatedColumn="11"/>
        </ext>
      </extLst>
    </cacheHierarchy>
    <cacheHierarchy uniqueName="[Measures].[Count of Attendance %]" caption="Count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rget Achievement %]" caption="Sum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Average of Target Achievement %]" caption="Average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Workforce_Data"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Workforce_Data" uniqueName="[Workforce_Data]" caption="Workforce_Data"/>
  </dimensions>
  <measureGroups count="1">
    <measureGroup name="Workforce_Data" caption="Workforce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42.889642361108" backgroundQuery="1" createdVersion="8" refreshedVersion="8" minRefreshableVersion="3" recordCount="0" supportSubquery="1" supportAdvancedDrill="1" xr:uid="{8BFCA950-40FF-41F4-AB87-E95B87A28700}">
  <cacheSource type="external" connectionId="1"/>
  <cacheFields count="3">
    <cacheField name="[Workforce_Data].[Month].[Month]" caption="Month" numFmtId="0" hierarchy="8" level="1">
      <sharedItems count="12">
        <s v="Apr"/>
        <s v="Aug"/>
        <s v="Dec"/>
        <s v="Feb"/>
        <s v="Jan"/>
        <s v="Jul"/>
        <s v="Jun"/>
        <s v="Mar"/>
        <s v="May"/>
        <s v="Nov"/>
        <s v="Oct"/>
        <s v="Sep"/>
      </sharedItems>
    </cacheField>
    <cacheField name="[Measures].[Average of Attendance %]" caption="Average of Attendance %" numFmtId="0" hierarchy="28" level="32767"/>
    <cacheField name="[Workforce_Data].[Department].[Department]" caption="Department" numFmtId="0" hierarchy="4" level="1">
      <sharedItems containsSemiMixedTypes="0" containsNonDate="0" containsString="0"/>
    </cacheField>
  </cacheFields>
  <cacheHierarchies count="37">
    <cacheHierarchy uniqueName="[Workforce_Data].[Employee ID]" caption="Employee ID" attribute="1" defaultMemberUniqueName="[Workforce_Data].[Employee ID].[All]" allUniqueName="[Workforce_Data].[Employee ID].[All]" dimensionUniqueName="[Workforce_Data]" displayFolder="" count="0" memberValueDatatype="130" unbalanced="0"/>
    <cacheHierarchy uniqueName="[Workforce_Data].[Employee Name]" caption="Employee Name" attribute="1" defaultMemberUniqueName="[Workforce_Data].[Employee Name].[All]" allUniqueName="[Workforce_Data].[Employee Name].[All]" dimensionUniqueName="[Workforce_Data]" displayFolder="" count="0" memberValueDatatype="130" unbalanced="0"/>
    <cacheHierarchy uniqueName="[Workforce_Data].[Gender]" caption="Gender" attribute="1" defaultMemberUniqueName="[Workforce_Data].[Gender].[All]" allUniqueName="[Workforce_Data].[Gender].[All]" dimensionUniqueName="[Workforce_Data]" displayFolder="" count="0" memberValueDatatype="130" unbalanced="0"/>
    <cacheHierarchy uniqueName="[Workforce_Data].[Employment Type]" caption="Employment Type" attribute="1" defaultMemberUniqueName="[Workforce_Data].[Employment Type].[All]" allUniqueName="[Workforce_Data].[Employment Type].[All]" dimensionUniqueName="[Workforce_Data]" displayFolder="" count="0" memberValueDatatype="130" unbalanced="0"/>
    <cacheHierarchy uniqueName="[Workforce_Data].[Department]" caption="Department" attribute="1" defaultMemberUniqueName="[Workforce_Data].[Department].[All]" allUniqueName="[Workforce_Data].[Department].[All]" dimensionUniqueName="[Workforce_Data]" displayFolder="" count="2" memberValueDatatype="130" unbalanced="0">
      <fieldsUsage count="2">
        <fieldUsage x="-1"/>
        <fieldUsage x="2"/>
      </fieldsUsage>
    </cacheHierarchy>
    <cacheHierarchy uniqueName="[Workforce_Data].[Team Lead]" caption="Team Lead" attribute="1" defaultMemberUniqueName="[Workforce_Data].[Team Lead].[All]" allUniqueName="[Workforce_Data].[Team Lead].[All]" dimensionUniqueName="[Workforce_Data]" displayFolder="" count="0" memberValueDatatype="130" unbalanced="0"/>
    <cacheHierarchy uniqueName="[Workforce_Data].[Location]" caption="Location" attribute="1" defaultMemberUniqueName="[Workforce_Data].[Location].[All]" allUniqueName="[Workforce_Data].[Location].[All]" dimensionUniqueName="[Workforce_Data]" displayFolder="" count="0" memberValueDatatype="130" unbalanced="0"/>
    <cacheHierarchy uniqueName="[Workforce_Data].[Shift]" caption="Shift" attribute="1" defaultMemberUniqueName="[Workforce_Data].[Shift].[All]" allUniqueName="[Workforce_Data].[Shift].[All]" dimensionUniqueName="[Workforce_Data]" displayFolder="" count="0" memberValueDatatype="130" unbalanced="0"/>
    <cacheHierarchy uniqueName="[Workforce_Data].[Month]" caption="Month" attribute="1" defaultMemberUniqueName="[Workforce_Data].[Month].[All]" allUniqueName="[Workforce_Data].[Month].[All]" dimensionUniqueName="[Workforce_Data]" displayFolder="" count="2" memberValueDatatype="130" unbalanced="0">
      <fieldsUsage count="2">
        <fieldUsage x="-1"/>
        <fieldUsage x="0"/>
      </fieldsUsage>
    </cacheHierarchy>
    <cacheHierarchy uniqueName="[Workforce_Data].[Attendance %]" caption="Attendance %" attribute="1" defaultMemberUniqueName="[Workforce_Data].[Attendance %].[All]" allUniqueName="[Workforce_Data].[Attendance %].[All]" dimensionUniqueName="[Workforce_Data]" displayFolder="" count="0" memberValueDatatype="20" unbalanced="0"/>
    <cacheHierarchy uniqueName="[Workforce_Data].[Leaves Taken]" caption="Leaves Taken" attribute="1" defaultMemberUniqueName="[Workforce_Data].[Leaves Taken].[All]" allUniqueName="[Workforce_Data].[Leaves Taken].[All]" dimensionUniqueName="[Workforce_Data]" displayFolder="" count="0" memberValueDatatype="20" unbalanced="0"/>
    <cacheHierarchy uniqueName="[Workforce_Data].[Overtime Hours]" caption="Overtime Hours" attribute="1" defaultMemberUniqueName="[Workforce_Data].[Overtime Hours].[All]" allUniqueName="[Workforce_Data].[Overtime Hours].[All]" dimensionUniqueName="[Workforce_Data]" displayFolder="" count="0" memberValueDatatype="20" unbalanced="0"/>
    <cacheHierarchy uniqueName="[Workforce_Data].[Tasks Assigned]" caption="Tasks Assigned" attribute="1" defaultMemberUniqueName="[Workforce_Data].[Tasks Assigned].[All]" allUniqueName="[Workforce_Data].[Tasks Assigned].[All]" dimensionUniqueName="[Workforce_Data]" displayFolder="" count="0" memberValueDatatype="20" unbalanced="0"/>
    <cacheHierarchy uniqueName="[Workforce_Data].[Tasks Completed]" caption="Tasks Completed" attribute="1" defaultMemberUniqueName="[Workforce_Data].[Tasks Completed].[All]" allUniqueName="[Workforce_Data].[Tasks Completed].[All]" dimensionUniqueName="[Workforce_Data]" displayFolder="" count="0" memberValueDatatype="20" unbalanced="0"/>
    <cacheHierarchy uniqueName="[Workforce_Data].[Productivity %]" caption="Productivity %" attribute="1" defaultMemberUniqueName="[Workforce_Data].[Productivity %].[All]" allUniqueName="[Workforce_Data].[Productivity %].[All]" dimensionUniqueName="[Workforce_Data]" displayFolder="" count="0" memberValueDatatype="5" unbalanced="0"/>
    <cacheHierarchy uniqueName="[Workforce_Data].[Quality Score]" caption="Quality Score" attribute="1" defaultMemberUniqueName="[Workforce_Data].[Quality Score].[All]" allUniqueName="[Workforce_Data].[Quality Score].[All]" dimensionUniqueName="[Workforce_Data]" displayFolder="" count="0" memberValueDatatype="5" unbalanced="0"/>
    <cacheHierarchy uniqueName="[Workforce_Data].[Target Achievement %]" caption="Target Achievement %" attribute="1" defaultMemberUniqueName="[Workforce_Data].[Target Achievement %].[All]" allUniqueName="[Workforce_Data].[Target Achievement %].[All]" dimensionUniqueName="[Workforce_Data]" displayFolder="" count="0" memberValueDatatype="5" unbalanced="0"/>
    <cacheHierarchy uniqueName="[Workforce_Data].[CSAT]" caption="CSAT" attribute="1" defaultMemberUniqueName="[Workforce_Data].[CSAT].[All]" allUniqueName="[Workforce_Data].[CSAT].[All]" dimensionUniqueName="[Workforce_Data]" displayFolder="" count="0" memberValueDatatype="5" unbalanced="0"/>
    <cacheHierarchy uniqueName="[Workforce_Data].[AHT (mins)]" caption="AHT (mins)" attribute="1" defaultMemberUniqueName="[Workforce_Data].[AHT (mins)].[All]" allUniqueName="[Workforce_Data].[AHT (mins)].[All]" dimensionUniqueName="[Workforce_Data]" displayFolder="" count="0" memberValueDatatype="5" unbalanced="0"/>
    <cacheHierarchy uniqueName="[Workforce_Data].[SLA Met]" caption="SLA Met" attribute="1" defaultMemberUniqueName="[Workforce_Data].[SLA Met].[All]" allUniqueName="[Workforce_Data].[SLA Met].[All]" dimensionUniqueName="[Workforce_Data]" displayFolder="" count="0" memberValueDatatype="130" unbalanced="0"/>
    <cacheHierarchy uniqueName="[Workforce_Data].[Escalations]" caption="Escalations" attribute="1" defaultMemberUniqueName="[Workforce_Data].[Escalations].[All]" allUniqueName="[Workforce_Data].[Escalations].[All]" dimensionUniqueName="[Workforce_Data]" displayFolder="" count="0" memberValueDatatype="20" unbalanced="0"/>
    <cacheHierarchy uniqueName="[Workforce_Data].[Training Hours]" caption="Training Hours" attribute="1" defaultMemberUniqueName="[Workforce_Data].[Training Hours].[All]" allUniqueName="[Workforce_Data].[Training Hours].[All]" dimensionUniqueName="[Workforce_Data]" displayFolder="" count="0" memberValueDatatype="20" unbalanced="0"/>
    <cacheHierarchy uniqueName="[Measures].[__XL_Count Workforce_Data]" caption="__XL_Count Workforce_Data" measure="1" displayFolder="" measureGroup="Workforce_Data" count="0" hidden="1"/>
    <cacheHierarchy uniqueName="[Measures].[__No measures defined]" caption="__No measures defined" measure="1" displayFolder="" count="0" hidden="1"/>
    <cacheHierarchy uniqueName="[Measures].[Sum of Productivity %]" caption="Sum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Average of Productivity %]" caption="Average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Sum of Attendance %]" caption="Sum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Leaves Taken]" caption="Sum of Leaves Taken" measure="1" displayFolder="" measureGroup="Workforce_Data"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Workforce_Data"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Tasks Completed]" caption="Sum of Tasks Completed" measure="1" displayFolder="" measureGroup="Workforce_Data" count="0" hidden="1">
      <extLst>
        <ext xmlns:x15="http://schemas.microsoft.com/office/spreadsheetml/2010/11/main" uri="{B97F6D7D-B522-45F9-BDA1-12C45D357490}">
          <x15:cacheHierarchy aggregatedColumn="13"/>
        </ext>
      </extLst>
    </cacheHierarchy>
    <cacheHierarchy uniqueName="[Measures].[Sum of Quality Score]" caption="Sum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Average of Quality Score]" caption="Average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Sum of Overtime Hours]" caption="Sum of Overtime Hours" measure="1" displayFolder="" measureGroup="Workforce_Data" count="0" hidden="1">
      <extLst>
        <ext xmlns:x15="http://schemas.microsoft.com/office/spreadsheetml/2010/11/main" uri="{B97F6D7D-B522-45F9-BDA1-12C45D357490}">
          <x15:cacheHierarchy aggregatedColumn="11"/>
        </ext>
      </extLst>
    </cacheHierarchy>
    <cacheHierarchy uniqueName="[Measures].[Count of Attendance %]" caption="Count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rget Achievement %]" caption="Sum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Average of Target Achievement %]" caption="Average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Workforce_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Workforce_Data" uniqueName="[Workforce_Data]" caption="Workforce_Data"/>
  </dimensions>
  <measureGroups count="1">
    <measureGroup name="Workforce_Data" caption="Workforce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42.889643750001" backgroundQuery="1" createdVersion="8" refreshedVersion="8" minRefreshableVersion="3" recordCount="0" supportSubquery="1" supportAdvancedDrill="1" xr:uid="{31A32BEA-CEE4-461B-94C4-96C42E461306}">
  <cacheSource type="external" connectionId="1"/>
  <cacheFields count="3">
    <cacheField name="[Workforce_Data].[Location].[Location]" caption="Location" numFmtId="0" hierarchy="6" level="1">
      <sharedItems count="6">
        <s v="Bangalore"/>
        <s v="Delhi"/>
        <s v="Gurgaon"/>
        <s v="Hyderabad"/>
        <s v="Noida"/>
        <s v="Pune"/>
      </sharedItems>
    </cacheField>
    <cacheField name="[Measures].[Average of Productivity %]" caption="Average of Productivity %" numFmtId="0" hierarchy="25" level="32767"/>
    <cacheField name="[Workforce_Data].[Department].[Department]" caption="Department" numFmtId="0" hierarchy="4" level="1">
      <sharedItems containsSemiMixedTypes="0" containsNonDate="0" containsString="0"/>
    </cacheField>
  </cacheFields>
  <cacheHierarchies count="37">
    <cacheHierarchy uniqueName="[Workforce_Data].[Employee ID]" caption="Employee ID" attribute="1" defaultMemberUniqueName="[Workforce_Data].[Employee ID].[All]" allUniqueName="[Workforce_Data].[Employee ID].[All]" dimensionUniqueName="[Workforce_Data]" displayFolder="" count="0" memberValueDatatype="130" unbalanced="0"/>
    <cacheHierarchy uniqueName="[Workforce_Data].[Employee Name]" caption="Employee Name" attribute="1" defaultMemberUniqueName="[Workforce_Data].[Employee Name].[All]" allUniqueName="[Workforce_Data].[Employee Name].[All]" dimensionUniqueName="[Workforce_Data]" displayFolder="" count="0" memberValueDatatype="130" unbalanced="0"/>
    <cacheHierarchy uniqueName="[Workforce_Data].[Gender]" caption="Gender" attribute="1" defaultMemberUniqueName="[Workforce_Data].[Gender].[All]" allUniqueName="[Workforce_Data].[Gender].[All]" dimensionUniqueName="[Workforce_Data]" displayFolder="" count="0" memberValueDatatype="130" unbalanced="0"/>
    <cacheHierarchy uniqueName="[Workforce_Data].[Employment Type]" caption="Employment Type" attribute="1" defaultMemberUniqueName="[Workforce_Data].[Employment Type].[All]" allUniqueName="[Workforce_Data].[Employment Type].[All]" dimensionUniqueName="[Workforce_Data]" displayFolder="" count="0" memberValueDatatype="130" unbalanced="0"/>
    <cacheHierarchy uniqueName="[Workforce_Data].[Department]" caption="Department" attribute="1" defaultMemberUniqueName="[Workforce_Data].[Department].[All]" allUniqueName="[Workforce_Data].[Department].[All]" dimensionUniqueName="[Workforce_Data]" displayFolder="" count="2" memberValueDatatype="130" unbalanced="0">
      <fieldsUsage count="2">
        <fieldUsage x="-1"/>
        <fieldUsage x="2"/>
      </fieldsUsage>
    </cacheHierarchy>
    <cacheHierarchy uniqueName="[Workforce_Data].[Team Lead]" caption="Team Lead" attribute="1" defaultMemberUniqueName="[Workforce_Data].[Team Lead].[All]" allUniqueName="[Workforce_Data].[Team Lead].[All]" dimensionUniqueName="[Workforce_Data]" displayFolder="" count="0" memberValueDatatype="130" unbalanced="0"/>
    <cacheHierarchy uniqueName="[Workforce_Data].[Location]" caption="Location" attribute="1" defaultMemberUniqueName="[Workforce_Data].[Location].[All]" allUniqueName="[Workforce_Data].[Location].[All]" dimensionUniqueName="[Workforce_Data]" displayFolder="" count="2" memberValueDatatype="130" unbalanced="0">
      <fieldsUsage count="2">
        <fieldUsage x="-1"/>
        <fieldUsage x="0"/>
      </fieldsUsage>
    </cacheHierarchy>
    <cacheHierarchy uniqueName="[Workforce_Data].[Shift]" caption="Shift" attribute="1" defaultMemberUniqueName="[Workforce_Data].[Shift].[All]" allUniqueName="[Workforce_Data].[Shift].[All]" dimensionUniqueName="[Workforce_Data]" displayFolder="" count="0" memberValueDatatype="130" unbalanced="0"/>
    <cacheHierarchy uniqueName="[Workforce_Data].[Month]" caption="Month" attribute="1" defaultMemberUniqueName="[Workforce_Data].[Month].[All]" allUniqueName="[Workforce_Data].[Month].[All]" dimensionUniqueName="[Workforce_Data]" displayFolder="" count="0" memberValueDatatype="130" unbalanced="0"/>
    <cacheHierarchy uniqueName="[Workforce_Data].[Attendance %]" caption="Attendance %" attribute="1" defaultMemberUniqueName="[Workforce_Data].[Attendance %].[All]" allUniqueName="[Workforce_Data].[Attendance %].[All]" dimensionUniqueName="[Workforce_Data]" displayFolder="" count="0" memberValueDatatype="20" unbalanced="0"/>
    <cacheHierarchy uniqueName="[Workforce_Data].[Leaves Taken]" caption="Leaves Taken" attribute="1" defaultMemberUniqueName="[Workforce_Data].[Leaves Taken].[All]" allUniqueName="[Workforce_Data].[Leaves Taken].[All]" dimensionUniqueName="[Workforce_Data]" displayFolder="" count="0" memberValueDatatype="20" unbalanced="0"/>
    <cacheHierarchy uniqueName="[Workforce_Data].[Overtime Hours]" caption="Overtime Hours" attribute="1" defaultMemberUniqueName="[Workforce_Data].[Overtime Hours].[All]" allUniqueName="[Workforce_Data].[Overtime Hours].[All]" dimensionUniqueName="[Workforce_Data]" displayFolder="" count="0" memberValueDatatype="20" unbalanced="0"/>
    <cacheHierarchy uniqueName="[Workforce_Data].[Tasks Assigned]" caption="Tasks Assigned" attribute="1" defaultMemberUniqueName="[Workforce_Data].[Tasks Assigned].[All]" allUniqueName="[Workforce_Data].[Tasks Assigned].[All]" dimensionUniqueName="[Workforce_Data]" displayFolder="" count="0" memberValueDatatype="20" unbalanced="0"/>
    <cacheHierarchy uniqueName="[Workforce_Data].[Tasks Completed]" caption="Tasks Completed" attribute="1" defaultMemberUniqueName="[Workforce_Data].[Tasks Completed].[All]" allUniqueName="[Workforce_Data].[Tasks Completed].[All]" dimensionUniqueName="[Workforce_Data]" displayFolder="" count="0" memberValueDatatype="20" unbalanced="0"/>
    <cacheHierarchy uniqueName="[Workforce_Data].[Productivity %]" caption="Productivity %" attribute="1" defaultMemberUniqueName="[Workforce_Data].[Productivity %].[All]" allUniqueName="[Workforce_Data].[Productivity %].[All]" dimensionUniqueName="[Workforce_Data]" displayFolder="" count="0" memberValueDatatype="5" unbalanced="0"/>
    <cacheHierarchy uniqueName="[Workforce_Data].[Quality Score]" caption="Quality Score" attribute="1" defaultMemberUniqueName="[Workforce_Data].[Quality Score].[All]" allUniqueName="[Workforce_Data].[Quality Score].[All]" dimensionUniqueName="[Workforce_Data]" displayFolder="" count="0" memberValueDatatype="5" unbalanced="0"/>
    <cacheHierarchy uniqueName="[Workforce_Data].[Target Achievement %]" caption="Target Achievement %" attribute="1" defaultMemberUniqueName="[Workforce_Data].[Target Achievement %].[All]" allUniqueName="[Workforce_Data].[Target Achievement %].[All]" dimensionUniqueName="[Workforce_Data]" displayFolder="" count="0" memberValueDatatype="5" unbalanced="0"/>
    <cacheHierarchy uniqueName="[Workforce_Data].[CSAT]" caption="CSAT" attribute="1" defaultMemberUniqueName="[Workforce_Data].[CSAT].[All]" allUniqueName="[Workforce_Data].[CSAT].[All]" dimensionUniqueName="[Workforce_Data]" displayFolder="" count="0" memberValueDatatype="5" unbalanced="0"/>
    <cacheHierarchy uniqueName="[Workforce_Data].[AHT (mins)]" caption="AHT (mins)" attribute="1" defaultMemberUniqueName="[Workforce_Data].[AHT (mins)].[All]" allUniqueName="[Workforce_Data].[AHT (mins)].[All]" dimensionUniqueName="[Workforce_Data]" displayFolder="" count="0" memberValueDatatype="5" unbalanced="0"/>
    <cacheHierarchy uniqueName="[Workforce_Data].[SLA Met]" caption="SLA Met" attribute="1" defaultMemberUniqueName="[Workforce_Data].[SLA Met].[All]" allUniqueName="[Workforce_Data].[SLA Met].[All]" dimensionUniqueName="[Workforce_Data]" displayFolder="" count="0" memberValueDatatype="130" unbalanced="0"/>
    <cacheHierarchy uniqueName="[Workforce_Data].[Escalations]" caption="Escalations" attribute="1" defaultMemberUniqueName="[Workforce_Data].[Escalations].[All]" allUniqueName="[Workforce_Data].[Escalations].[All]" dimensionUniqueName="[Workforce_Data]" displayFolder="" count="0" memberValueDatatype="20" unbalanced="0"/>
    <cacheHierarchy uniqueName="[Workforce_Data].[Training Hours]" caption="Training Hours" attribute="1" defaultMemberUniqueName="[Workforce_Data].[Training Hours].[All]" allUniqueName="[Workforce_Data].[Training Hours].[All]" dimensionUniqueName="[Workforce_Data]" displayFolder="" count="0" memberValueDatatype="20" unbalanced="0"/>
    <cacheHierarchy uniqueName="[Measures].[__XL_Count Workforce_Data]" caption="__XL_Count Workforce_Data" measure="1" displayFolder="" measureGroup="Workforce_Data" count="0" hidden="1"/>
    <cacheHierarchy uniqueName="[Measures].[__No measures defined]" caption="__No measures defined" measure="1" displayFolder="" count="0" hidden="1"/>
    <cacheHierarchy uniqueName="[Measures].[Sum of Productivity %]" caption="Sum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Average of Productivity %]" caption="Average of Productivity %" measure="1" displayFolder="" measureGroup="Workforce_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Attendance %]" caption="Sum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Leaves Taken]" caption="Sum of Leaves Taken" measure="1" displayFolder="" measureGroup="Workforce_Data"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sks Completed]" caption="Sum of Tasks Completed" measure="1" displayFolder="" measureGroup="Workforce_Data" count="0" hidden="1">
      <extLst>
        <ext xmlns:x15="http://schemas.microsoft.com/office/spreadsheetml/2010/11/main" uri="{B97F6D7D-B522-45F9-BDA1-12C45D357490}">
          <x15:cacheHierarchy aggregatedColumn="13"/>
        </ext>
      </extLst>
    </cacheHierarchy>
    <cacheHierarchy uniqueName="[Measures].[Sum of Quality Score]" caption="Sum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Average of Quality Score]" caption="Average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Sum of Overtime Hours]" caption="Sum of Overtime Hours" measure="1" displayFolder="" measureGroup="Workforce_Data" count="0" hidden="1">
      <extLst>
        <ext xmlns:x15="http://schemas.microsoft.com/office/spreadsheetml/2010/11/main" uri="{B97F6D7D-B522-45F9-BDA1-12C45D357490}">
          <x15:cacheHierarchy aggregatedColumn="11"/>
        </ext>
      </extLst>
    </cacheHierarchy>
    <cacheHierarchy uniqueName="[Measures].[Count of Attendance %]" caption="Count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rget Achievement %]" caption="Sum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Average of Target Achievement %]" caption="Average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Workforce_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Workforce_Data" uniqueName="[Workforce_Data]" caption="Workforce_Data"/>
  </dimensions>
  <measureGroups count="1">
    <measureGroup name="Workforce_Data" caption="Workforce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42.889645023148" backgroundQuery="1" createdVersion="8" refreshedVersion="8" minRefreshableVersion="3" recordCount="0" supportSubquery="1" supportAdvancedDrill="1" xr:uid="{070788D2-BC0F-4978-B981-3BA58E728110}">
  <cacheSource type="external" connectionId="1"/>
  <cacheFields count="2">
    <cacheField name="[Workforce_Data].[Department].[Department]" caption="Department" numFmtId="0" hierarchy="4" level="1">
      <sharedItems count="1">
        <s v="HR"/>
      </sharedItems>
    </cacheField>
    <cacheField name="[Measures].[Average of Attendance %]" caption="Average of Attendance %" numFmtId="0" hierarchy="28" level="32767"/>
  </cacheFields>
  <cacheHierarchies count="37">
    <cacheHierarchy uniqueName="[Workforce_Data].[Employee ID]" caption="Employee ID" attribute="1" defaultMemberUniqueName="[Workforce_Data].[Employee ID].[All]" allUniqueName="[Workforce_Data].[Employee ID].[All]" dimensionUniqueName="[Workforce_Data]" displayFolder="" count="0" memberValueDatatype="130" unbalanced="0"/>
    <cacheHierarchy uniqueName="[Workforce_Data].[Employee Name]" caption="Employee Name" attribute="1" defaultMemberUniqueName="[Workforce_Data].[Employee Name].[All]" allUniqueName="[Workforce_Data].[Employee Name].[All]" dimensionUniqueName="[Workforce_Data]" displayFolder="" count="0" memberValueDatatype="130" unbalanced="0"/>
    <cacheHierarchy uniqueName="[Workforce_Data].[Gender]" caption="Gender" attribute="1" defaultMemberUniqueName="[Workforce_Data].[Gender].[All]" allUniqueName="[Workforce_Data].[Gender].[All]" dimensionUniqueName="[Workforce_Data]" displayFolder="" count="0" memberValueDatatype="130" unbalanced="0"/>
    <cacheHierarchy uniqueName="[Workforce_Data].[Employment Type]" caption="Employment Type" attribute="1" defaultMemberUniqueName="[Workforce_Data].[Employment Type].[All]" allUniqueName="[Workforce_Data].[Employment Type].[All]" dimensionUniqueName="[Workforce_Data]" displayFolder="" count="0" memberValueDatatype="130" unbalanced="0"/>
    <cacheHierarchy uniqueName="[Workforce_Data].[Department]" caption="Department" attribute="1" defaultMemberUniqueName="[Workforce_Data].[Department].[All]" allUniqueName="[Workforce_Data].[Department].[All]" dimensionUniqueName="[Workforce_Data]" displayFolder="" count="2" memberValueDatatype="130" unbalanced="0">
      <fieldsUsage count="2">
        <fieldUsage x="-1"/>
        <fieldUsage x="0"/>
      </fieldsUsage>
    </cacheHierarchy>
    <cacheHierarchy uniqueName="[Workforce_Data].[Team Lead]" caption="Team Lead" attribute="1" defaultMemberUniqueName="[Workforce_Data].[Team Lead].[All]" allUniqueName="[Workforce_Data].[Team Lead].[All]" dimensionUniqueName="[Workforce_Data]" displayFolder="" count="0" memberValueDatatype="130" unbalanced="0"/>
    <cacheHierarchy uniqueName="[Workforce_Data].[Location]" caption="Location" attribute="1" defaultMemberUniqueName="[Workforce_Data].[Location].[All]" allUniqueName="[Workforce_Data].[Location].[All]" dimensionUniqueName="[Workforce_Data]" displayFolder="" count="0" memberValueDatatype="130" unbalanced="0"/>
    <cacheHierarchy uniqueName="[Workforce_Data].[Shift]" caption="Shift" attribute="1" defaultMemberUniqueName="[Workforce_Data].[Shift].[All]" allUniqueName="[Workforce_Data].[Shift].[All]" dimensionUniqueName="[Workforce_Data]" displayFolder="" count="0" memberValueDatatype="130" unbalanced="0"/>
    <cacheHierarchy uniqueName="[Workforce_Data].[Month]" caption="Month" attribute="1" defaultMemberUniqueName="[Workforce_Data].[Month].[All]" allUniqueName="[Workforce_Data].[Month].[All]" dimensionUniqueName="[Workforce_Data]" displayFolder="" count="0" memberValueDatatype="130" unbalanced="0"/>
    <cacheHierarchy uniqueName="[Workforce_Data].[Attendance %]" caption="Attendance %" attribute="1" defaultMemberUniqueName="[Workforce_Data].[Attendance %].[All]" allUniqueName="[Workforce_Data].[Attendance %].[All]" dimensionUniqueName="[Workforce_Data]" displayFolder="" count="0" memberValueDatatype="20" unbalanced="0"/>
    <cacheHierarchy uniqueName="[Workforce_Data].[Leaves Taken]" caption="Leaves Taken" attribute="1" defaultMemberUniqueName="[Workforce_Data].[Leaves Taken].[All]" allUniqueName="[Workforce_Data].[Leaves Taken].[All]" dimensionUniqueName="[Workforce_Data]" displayFolder="" count="0" memberValueDatatype="20" unbalanced="0"/>
    <cacheHierarchy uniqueName="[Workforce_Data].[Overtime Hours]" caption="Overtime Hours" attribute="1" defaultMemberUniqueName="[Workforce_Data].[Overtime Hours].[All]" allUniqueName="[Workforce_Data].[Overtime Hours].[All]" dimensionUniqueName="[Workforce_Data]" displayFolder="" count="0" memberValueDatatype="20" unbalanced="0"/>
    <cacheHierarchy uniqueName="[Workforce_Data].[Tasks Assigned]" caption="Tasks Assigned" attribute="1" defaultMemberUniqueName="[Workforce_Data].[Tasks Assigned].[All]" allUniqueName="[Workforce_Data].[Tasks Assigned].[All]" dimensionUniqueName="[Workforce_Data]" displayFolder="" count="0" memberValueDatatype="20" unbalanced="0"/>
    <cacheHierarchy uniqueName="[Workforce_Data].[Tasks Completed]" caption="Tasks Completed" attribute="1" defaultMemberUniqueName="[Workforce_Data].[Tasks Completed].[All]" allUniqueName="[Workforce_Data].[Tasks Completed].[All]" dimensionUniqueName="[Workforce_Data]" displayFolder="" count="0" memberValueDatatype="20" unbalanced="0"/>
    <cacheHierarchy uniqueName="[Workforce_Data].[Productivity %]" caption="Productivity %" attribute="1" defaultMemberUniqueName="[Workforce_Data].[Productivity %].[All]" allUniqueName="[Workforce_Data].[Productivity %].[All]" dimensionUniqueName="[Workforce_Data]" displayFolder="" count="0" memberValueDatatype="5" unbalanced="0"/>
    <cacheHierarchy uniqueName="[Workforce_Data].[Quality Score]" caption="Quality Score" attribute="1" defaultMemberUniqueName="[Workforce_Data].[Quality Score].[All]" allUniqueName="[Workforce_Data].[Quality Score].[All]" dimensionUniqueName="[Workforce_Data]" displayFolder="" count="0" memberValueDatatype="5" unbalanced="0"/>
    <cacheHierarchy uniqueName="[Workforce_Data].[Target Achievement %]" caption="Target Achievement %" attribute="1" defaultMemberUniqueName="[Workforce_Data].[Target Achievement %].[All]" allUniqueName="[Workforce_Data].[Target Achievement %].[All]" dimensionUniqueName="[Workforce_Data]" displayFolder="" count="0" memberValueDatatype="5" unbalanced="0"/>
    <cacheHierarchy uniqueName="[Workforce_Data].[CSAT]" caption="CSAT" attribute="1" defaultMemberUniqueName="[Workforce_Data].[CSAT].[All]" allUniqueName="[Workforce_Data].[CSAT].[All]" dimensionUniqueName="[Workforce_Data]" displayFolder="" count="0" memberValueDatatype="5" unbalanced="0"/>
    <cacheHierarchy uniqueName="[Workforce_Data].[AHT (mins)]" caption="AHT (mins)" attribute="1" defaultMemberUniqueName="[Workforce_Data].[AHT (mins)].[All]" allUniqueName="[Workforce_Data].[AHT (mins)].[All]" dimensionUniqueName="[Workforce_Data]" displayFolder="" count="0" memberValueDatatype="5" unbalanced="0"/>
    <cacheHierarchy uniqueName="[Workforce_Data].[SLA Met]" caption="SLA Met" attribute="1" defaultMemberUniqueName="[Workforce_Data].[SLA Met].[All]" allUniqueName="[Workforce_Data].[SLA Met].[All]" dimensionUniqueName="[Workforce_Data]" displayFolder="" count="0" memberValueDatatype="130" unbalanced="0"/>
    <cacheHierarchy uniqueName="[Workforce_Data].[Escalations]" caption="Escalations" attribute="1" defaultMemberUniqueName="[Workforce_Data].[Escalations].[All]" allUniqueName="[Workforce_Data].[Escalations].[All]" dimensionUniqueName="[Workforce_Data]" displayFolder="" count="0" memberValueDatatype="20" unbalanced="0"/>
    <cacheHierarchy uniqueName="[Workforce_Data].[Training Hours]" caption="Training Hours" attribute="1" defaultMemberUniqueName="[Workforce_Data].[Training Hours].[All]" allUniqueName="[Workforce_Data].[Training Hours].[All]" dimensionUniqueName="[Workforce_Data]" displayFolder="" count="0" memberValueDatatype="20" unbalanced="0"/>
    <cacheHierarchy uniqueName="[Measures].[__XL_Count Workforce_Data]" caption="__XL_Count Workforce_Data" measure="1" displayFolder="" measureGroup="Workforce_Data" count="0" hidden="1"/>
    <cacheHierarchy uniqueName="[Measures].[__No measures defined]" caption="__No measures defined" measure="1" displayFolder="" count="0" hidden="1"/>
    <cacheHierarchy uniqueName="[Measures].[Sum of Productivity %]" caption="Sum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Average of Productivity %]" caption="Average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Sum of Attendance %]" caption="Sum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Leaves Taken]" caption="Sum of Leaves Taken" measure="1" displayFolder="" measureGroup="Workforce_Data"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Workforce_Data"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Tasks Completed]" caption="Sum of Tasks Completed" measure="1" displayFolder="" measureGroup="Workforce_Data" count="0" hidden="1">
      <extLst>
        <ext xmlns:x15="http://schemas.microsoft.com/office/spreadsheetml/2010/11/main" uri="{B97F6D7D-B522-45F9-BDA1-12C45D357490}">
          <x15:cacheHierarchy aggregatedColumn="13"/>
        </ext>
      </extLst>
    </cacheHierarchy>
    <cacheHierarchy uniqueName="[Measures].[Sum of Quality Score]" caption="Sum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Average of Quality Score]" caption="Average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Sum of Overtime Hours]" caption="Sum of Overtime Hours" measure="1" displayFolder="" measureGroup="Workforce_Data" count="0" hidden="1">
      <extLst>
        <ext xmlns:x15="http://schemas.microsoft.com/office/spreadsheetml/2010/11/main" uri="{B97F6D7D-B522-45F9-BDA1-12C45D357490}">
          <x15:cacheHierarchy aggregatedColumn="11"/>
        </ext>
      </extLst>
    </cacheHierarchy>
    <cacheHierarchy uniqueName="[Measures].[Count of Attendance %]" caption="Count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rget Achievement %]" caption="Sum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Average of Target Achievement %]" caption="Average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Workforce_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Workforce_Data" uniqueName="[Workforce_Data]" caption="Workforce_Data"/>
  </dimensions>
  <measureGroups count="1">
    <measureGroup name="Workforce_Data" caption="Workforce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42.889647337965" backgroundQuery="1" createdVersion="8" refreshedVersion="8" minRefreshableVersion="3" recordCount="0" supportSubquery="1" supportAdvancedDrill="1" xr:uid="{9B77BB30-34ED-46F1-B097-99489F764218}">
  <cacheSource type="external" connectionId="1"/>
  <cacheFields count="3">
    <cacheField name="[Workforce_Data].[Employee Name].[Employee Name]" caption="Employee Name" numFmtId="0" hierarchy="1" level="1">
      <sharedItems count="190">
        <s v="Aditya Joshi"/>
        <s v="Ananya Patel"/>
        <s v="Arjun Reddy"/>
        <s v="Dev Nair"/>
        <s v="Isha Verma"/>
        <s v="Nisha Verma"/>
        <s v="Priya Reddy"/>
        <s v="Rahul Sharma"/>
        <s v="Rohan Reddy"/>
        <s v="Yash Mehta"/>
        <s v="Aditi Verma" u="1"/>
        <s v="Arjun Gupta" u="1"/>
        <s v="Isha Reddy" u="1"/>
        <s v="Kabir Singh" u="1"/>
        <s v="Meera Nair" u="1"/>
        <s v="Meera Sharma" u="1"/>
        <s v="Neha Reddy" u="1"/>
        <s v="Nisha Mehta" u="1"/>
        <s v="Vivaan Verma" u="1"/>
        <s v="Aditya Reddy" u="1"/>
        <s v="Karan Verma" u="1"/>
        <s v="Neha Patel" u="1"/>
        <s v="Nisha Gupta" u="1"/>
        <s v="Nisha Patel" u="1"/>
        <s v="Pooja Mehta" u="1"/>
        <s v="Rahul Patel" u="1"/>
        <s v="Riya Joshi" u="1"/>
        <s v="Sneha Joshi" u="1"/>
        <s v="Vivaan Nair" u="1"/>
        <s v="Arjun Joshi" u="1"/>
        <s v="Karan Sharma" u="1"/>
        <s v="Meera Joshi" u="1"/>
        <s v="Sneha Patel" u="1"/>
        <s v="Aarav Gupta" u="1"/>
        <s v="Aarav Joshi" u="1"/>
        <s v="Aarav Kumar" u="1"/>
        <s v="Aarav Mehta" u="1"/>
        <s v="Aarav Nair" u="1"/>
        <s v="Aarav Patel" u="1"/>
        <s v="Aarav Reddy" u="1"/>
        <s v="Aarav Sharma" u="1"/>
        <s v="Aarav Singh" u="1"/>
        <s v="Aarav Verma" u="1"/>
        <s v="Aditi Gupta" u="1"/>
        <s v="Aditi Joshi" u="1"/>
        <s v="Aditi Kumar" u="1"/>
        <s v="Aditi Mehta" u="1"/>
        <s v="Aditi Nair" u="1"/>
        <s v="Aditi Patel" u="1"/>
        <s v="Aditi Reddy" u="1"/>
        <s v="Aditi Sharma" u="1"/>
        <s v="Aditi Singh" u="1"/>
        <s v="Aditya Gupta" u="1"/>
        <s v="Aditya Kumar" u="1"/>
        <s v="Aditya Mehta" u="1"/>
        <s v="Aditya Nair" u="1"/>
        <s v="Aditya Sharma" u="1"/>
        <s v="Aditya Singh" u="1"/>
        <s v="Aditya Verma" u="1"/>
        <s v="Ananya Gupta" u="1"/>
        <s v="Ananya Joshi" u="1"/>
        <s v="Ananya Kumar" u="1"/>
        <s v="Ananya Mehta" u="1"/>
        <s v="Ananya Nair" u="1"/>
        <s v="Ananya Reddy" u="1"/>
        <s v="Ananya Sharma" u="1"/>
        <s v="Ananya Singh" u="1"/>
        <s v="Ananya Verma" u="1"/>
        <s v="Arjun Kumar" u="1"/>
        <s v="Arjun Mehta" u="1"/>
        <s v="Arjun Nair" u="1"/>
        <s v="Arjun Patel" u="1"/>
        <s v="Arjun Singh" u="1"/>
        <s v="Arjun Verma" u="1"/>
        <s v="Dev Gupta" u="1"/>
        <s v="Dev Joshi" u="1"/>
        <s v="Dev Kumar" u="1"/>
        <s v="Dev Mehta" u="1"/>
        <s v="Dev Patel" u="1"/>
        <s v="Dev Reddy" u="1"/>
        <s v="Dev Sharma" u="1"/>
        <s v="Dev Verma" u="1"/>
        <s v="Isha Gupta" u="1"/>
        <s v="Isha Joshi" u="1"/>
        <s v="Isha Kumar" u="1"/>
        <s v="Isha Mehta" u="1"/>
        <s v="Isha Nair" u="1"/>
        <s v="Isha Sharma" u="1"/>
        <s v="Isha Singh" u="1"/>
        <s v="Kabir Gupta" u="1"/>
        <s v="Kabir Joshi" u="1"/>
        <s v="Kabir Kumar" u="1"/>
        <s v="Kabir Mehta" u="1"/>
        <s v="Kabir Nair" u="1"/>
        <s v="Kabir Patel" u="1"/>
        <s v="Kabir Reddy" u="1"/>
        <s v="Kabir Sharma" u="1"/>
        <s v="Kabir Verma" u="1"/>
        <s v="Karan Gupta" u="1"/>
        <s v="Karan Joshi" u="1"/>
        <s v="Karan Kumar" u="1"/>
        <s v="Karan Mehta" u="1"/>
        <s v="Karan Nair" u="1"/>
        <s v="Karan Reddy" u="1"/>
        <s v="Karan Singh" u="1"/>
        <s v="Meera Gupta" u="1"/>
        <s v="Meera Kumar" u="1"/>
        <s v="Meera Mehta" u="1"/>
        <s v="Meera Patel" u="1"/>
        <s v="Meera Reddy" u="1"/>
        <s v="Meera Singh" u="1"/>
        <s v="Meera Verma" u="1"/>
        <s v="Neha Gupta" u="1"/>
        <s v="Neha Joshi" u="1"/>
        <s v="Neha Kumar" u="1"/>
        <s v="Neha Nair" u="1"/>
        <s v="Neha Sharma" u="1"/>
        <s v="Neha Singh" u="1"/>
        <s v="Neha Verma" u="1"/>
        <s v="Nisha Joshi" u="1"/>
        <s v="Nisha Kumar" u="1"/>
        <s v="Nisha Nair" u="1"/>
        <s v="Nisha Reddy" u="1"/>
        <s v="Nisha Sharma" u="1"/>
        <s v="Nisha Singh" u="1"/>
        <s v="Pooja Gupta" u="1"/>
        <s v="Pooja Joshi" u="1"/>
        <s v="Pooja Kumar" u="1"/>
        <s v="Pooja Nair" u="1"/>
        <s v="Pooja Patel" u="1"/>
        <s v="Pooja Singh" u="1"/>
        <s v="Pooja Verma" u="1"/>
        <s v="Priya Gupta" u="1"/>
        <s v="Priya Joshi" u="1"/>
        <s v="Priya Kumar" u="1"/>
        <s v="Priya Mehta" u="1"/>
        <s v="Priya Nair" u="1"/>
        <s v="Priya Patel" u="1"/>
        <s v="Priya Sharma" u="1"/>
        <s v="Priya Singh" u="1"/>
        <s v="Priya Verma" u="1"/>
        <s v="Rahul Gupta" u="1"/>
        <s v="Rahul Joshi" u="1"/>
        <s v="Rahul Kumar" u="1"/>
        <s v="Rahul Mehta" u="1"/>
        <s v="Rahul Nair" u="1"/>
        <s v="Rahul Reddy" u="1"/>
        <s v="Rahul Singh" u="1"/>
        <s v="Rahul Verma" u="1"/>
        <s v="Riya Gupta" u="1"/>
        <s v="Riya Mehta" u="1"/>
        <s v="Riya Nair" u="1"/>
        <s v="Riya Reddy" u="1"/>
        <s v="Riya Sharma" u="1"/>
        <s v="Riya Singh" u="1"/>
        <s v="Riya Verma" u="1"/>
        <s v="Rohan Gupta" u="1"/>
        <s v="Rohan Joshi" u="1"/>
        <s v="Rohan Kumar" u="1"/>
        <s v="Rohan Mehta" u="1"/>
        <s v="Rohan Nair" u="1"/>
        <s v="Rohan Patel" u="1"/>
        <s v="Rohan Sharma" u="1"/>
        <s v="Rohan Singh" u="1"/>
        <s v="Rohan Verma" u="1"/>
        <s v="Sneha Gupta" u="1"/>
        <s v="Sneha Kumar" u="1"/>
        <s v="Sneha Mehta" u="1"/>
        <s v="Sneha Nair" u="1"/>
        <s v="Sneha Reddy" u="1"/>
        <s v="Sneha Sharma" u="1"/>
        <s v="Sneha Singh" u="1"/>
        <s v="Sneha Verma" u="1"/>
        <s v="Vivaan Gupta" u="1"/>
        <s v="Vivaan Joshi" u="1"/>
        <s v="Vivaan Kumar" u="1"/>
        <s v="Vivaan Mehta" u="1"/>
        <s v="Vivaan Patel" u="1"/>
        <s v="Vivaan Reddy" u="1"/>
        <s v="Vivaan Sharma" u="1"/>
        <s v="Vivaan Singh" u="1"/>
        <s v="Yash Gupta" u="1"/>
        <s v="Yash Joshi" u="1"/>
        <s v="Yash Kumar" u="1"/>
        <s v="Yash Nair" u="1"/>
        <s v="Yash Patel" u="1"/>
        <s v="Yash Reddy" u="1"/>
        <s v="Yash Sharma" u="1"/>
        <s v="Yash Singh" u="1"/>
        <s v="Yash Verma" u="1"/>
      </sharedItems>
    </cacheField>
    <cacheField name="[Measures].[Average of Productivity %]" caption="Average of Productivity %" numFmtId="0" hierarchy="25" level="32767"/>
    <cacheField name="[Workforce_Data].[Department].[Department]" caption="Department" numFmtId="0" hierarchy="4" level="1">
      <sharedItems containsSemiMixedTypes="0" containsNonDate="0" containsString="0"/>
    </cacheField>
  </cacheFields>
  <cacheHierarchies count="37">
    <cacheHierarchy uniqueName="[Workforce_Data].[Employee ID]" caption="Employee ID" attribute="1" defaultMemberUniqueName="[Workforce_Data].[Employee ID].[All]" allUniqueName="[Workforce_Data].[Employee ID].[All]" dimensionUniqueName="[Workforce_Data]" displayFolder="" count="0" memberValueDatatype="130" unbalanced="0"/>
    <cacheHierarchy uniqueName="[Workforce_Data].[Employee Name]" caption="Employee Name" attribute="1" defaultMemberUniqueName="[Workforce_Data].[Employee Name].[All]" allUniqueName="[Workforce_Data].[Employee Name].[All]" dimensionUniqueName="[Workforce_Data]" displayFolder="" count="2" memberValueDatatype="130" unbalanced="0">
      <fieldsUsage count="2">
        <fieldUsage x="-1"/>
        <fieldUsage x="0"/>
      </fieldsUsage>
    </cacheHierarchy>
    <cacheHierarchy uniqueName="[Workforce_Data].[Gender]" caption="Gender" attribute="1" defaultMemberUniqueName="[Workforce_Data].[Gender].[All]" allUniqueName="[Workforce_Data].[Gender].[All]" dimensionUniqueName="[Workforce_Data]" displayFolder="" count="0" memberValueDatatype="130" unbalanced="0"/>
    <cacheHierarchy uniqueName="[Workforce_Data].[Employment Type]" caption="Employment Type" attribute="1" defaultMemberUniqueName="[Workforce_Data].[Employment Type].[All]" allUniqueName="[Workforce_Data].[Employment Type].[All]" dimensionUniqueName="[Workforce_Data]" displayFolder="" count="0" memberValueDatatype="130" unbalanced="0"/>
    <cacheHierarchy uniqueName="[Workforce_Data].[Department]" caption="Department" attribute="1" defaultMemberUniqueName="[Workforce_Data].[Department].[All]" allUniqueName="[Workforce_Data].[Department].[All]" dimensionUniqueName="[Workforce_Data]" displayFolder="" count="2" memberValueDatatype="130" unbalanced="0">
      <fieldsUsage count="2">
        <fieldUsage x="-1"/>
        <fieldUsage x="2"/>
      </fieldsUsage>
    </cacheHierarchy>
    <cacheHierarchy uniqueName="[Workforce_Data].[Team Lead]" caption="Team Lead" attribute="1" defaultMemberUniqueName="[Workforce_Data].[Team Lead].[All]" allUniqueName="[Workforce_Data].[Team Lead].[All]" dimensionUniqueName="[Workforce_Data]" displayFolder="" count="0" memberValueDatatype="130" unbalanced="0"/>
    <cacheHierarchy uniqueName="[Workforce_Data].[Location]" caption="Location" attribute="1" defaultMemberUniqueName="[Workforce_Data].[Location].[All]" allUniqueName="[Workforce_Data].[Location].[All]" dimensionUniqueName="[Workforce_Data]" displayFolder="" count="0" memberValueDatatype="130" unbalanced="0"/>
    <cacheHierarchy uniqueName="[Workforce_Data].[Shift]" caption="Shift" attribute="1" defaultMemberUniqueName="[Workforce_Data].[Shift].[All]" allUniqueName="[Workforce_Data].[Shift].[All]" dimensionUniqueName="[Workforce_Data]" displayFolder="" count="0" memberValueDatatype="130" unbalanced="0"/>
    <cacheHierarchy uniqueName="[Workforce_Data].[Month]" caption="Month" attribute="1" defaultMemberUniqueName="[Workforce_Data].[Month].[All]" allUniqueName="[Workforce_Data].[Month].[All]" dimensionUniqueName="[Workforce_Data]" displayFolder="" count="0" memberValueDatatype="130" unbalanced="0"/>
    <cacheHierarchy uniqueName="[Workforce_Data].[Attendance %]" caption="Attendance %" attribute="1" defaultMemberUniqueName="[Workforce_Data].[Attendance %].[All]" allUniqueName="[Workforce_Data].[Attendance %].[All]" dimensionUniqueName="[Workforce_Data]" displayFolder="" count="0" memberValueDatatype="20" unbalanced="0"/>
    <cacheHierarchy uniqueName="[Workforce_Data].[Leaves Taken]" caption="Leaves Taken" attribute="1" defaultMemberUniqueName="[Workforce_Data].[Leaves Taken].[All]" allUniqueName="[Workforce_Data].[Leaves Taken].[All]" dimensionUniqueName="[Workforce_Data]" displayFolder="" count="0" memberValueDatatype="20" unbalanced="0"/>
    <cacheHierarchy uniqueName="[Workforce_Data].[Overtime Hours]" caption="Overtime Hours" attribute="1" defaultMemberUniqueName="[Workforce_Data].[Overtime Hours].[All]" allUniqueName="[Workforce_Data].[Overtime Hours].[All]" dimensionUniqueName="[Workforce_Data]" displayFolder="" count="0" memberValueDatatype="20" unbalanced="0"/>
    <cacheHierarchy uniqueName="[Workforce_Data].[Tasks Assigned]" caption="Tasks Assigned" attribute="1" defaultMemberUniqueName="[Workforce_Data].[Tasks Assigned].[All]" allUniqueName="[Workforce_Data].[Tasks Assigned].[All]" dimensionUniqueName="[Workforce_Data]" displayFolder="" count="0" memberValueDatatype="20" unbalanced="0"/>
    <cacheHierarchy uniqueName="[Workforce_Data].[Tasks Completed]" caption="Tasks Completed" attribute="1" defaultMemberUniqueName="[Workforce_Data].[Tasks Completed].[All]" allUniqueName="[Workforce_Data].[Tasks Completed].[All]" dimensionUniqueName="[Workforce_Data]" displayFolder="" count="0" memberValueDatatype="20" unbalanced="0"/>
    <cacheHierarchy uniqueName="[Workforce_Data].[Productivity %]" caption="Productivity %" attribute="1" defaultMemberUniqueName="[Workforce_Data].[Productivity %].[All]" allUniqueName="[Workforce_Data].[Productivity %].[All]" dimensionUniqueName="[Workforce_Data]" displayFolder="" count="0" memberValueDatatype="5" unbalanced="0"/>
    <cacheHierarchy uniqueName="[Workforce_Data].[Quality Score]" caption="Quality Score" attribute="1" defaultMemberUniqueName="[Workforce_Data].[Quality Score].[All]" allUniqueName="[Workforce_Data].[Quality Score].[All]" dimensionUniqueName="[Workforce_Data]" displayFolder="" count="0" memberValueDatatype="5" unbalanced="0"/>
    <cacheHierarchy uniqueName="[Workforce_Data].[Target Achievement %]" caption="Target Achievement %" attribute="1" defaultMemberUniqueName="[Workforce_Data].[Target Achievement %].[All]" allUniqueName="[Workforce_Data].[Target Achievement %].[All]" dimensionUniqueName="[Workforce_Data]" displayFolder="" count="0" memberValueDatatype="5" unbalanced="0"/>
    <cacheHierarchy uniqueName="[Workforce_Data].[CSAT]" caption="CSAT" attribute="1" defaultMemberUniqueName="[Workforce_Data].[CSAT].[All]" allUniqueName="[Workforce_Data].[CSAT].[All]" dimensionUniqueName="[Workforce_Data]" displayFolder="" count="0" memberValueDatatype="5" unbalanced="0"/>
    <cacheHierarchy uniqueName="[Workforce_Data].[AHT (mins)]" caption="AHT (mins)" attribute="1" defaultMemberUniqueName="[Workforce_Data].[AHT (mins)].[All]" allUniqueName="[Workforce_Data].[AHT (mins)].[All]" dimensionUniqueName="[Workforce_Data]" displayFolder="" count="0" memberValueDatatype="5" unbalanced="0"/>
    <cacheHierarchy uniqueName="[Workforce_Data].[SLA Met]" caption="SLA Met" attribute="1" defaultMemberUniqueName="[Workforce_Data].[SLA Met].[All]" allUniqueName="[Workforce_Data].[SLA Met].[All]" dimensionUniqueName="[Workforce_Data]" displayFolder="" count="0" memberValueDatatype="130" unbalanced="0"/>
    <cacheHierarchy uniqueName="[Workforce_Data].[Escalations]" caption="Escalations" attribute="1" defaultMemberUniqueName="[Workforce_Data].[Escalations].[All]" allUniqueName="[Workforce_Data].[Escalations].[All]" dimensionUniqueName="[Workforce_Data]" displayFolder="" count="0" memberValueDatatype="20" unbalanced="0"/>
    <cacheHierarchy uniqueName="[Workforce_Data].[Training Hours]" caption="Training Hours" attribute="1" defaultMemberUniqueName="[Workforce_Data].[Training Hours].[All]" allUniqueName="[Workforce_Data].[Training Hours].[All]" dimensionUniqueName="[Workforce_Data]" displayFolder="" count="0" memberValueDatatype="20" unbalanced="0"/>
    <cacheHierarchy uniqueName="[Measures].[__XL_Count Workforce_Data]" caption="__XL_Count Workforce_Data" measure="1" displayFolder="" measureGroup="Workforce_Data" count="0" hidden="1"/>
    <cacheHierarchy uniqueName="[Measures].[__No measures defined]" caption="__No measures defined" measure="1" displayFolder="" count="0" hidden="1"/>
    <cacheHierarchy uniqueName="[Measures].[Sum of Productivity %]" caption="Sum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Average of Productivity %]" caption="Average of Productivity %" measure="1" displayFolder="" measureGroup="Workforce_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Attendance %]" caption="Sum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Leaves Taken]" caption="Sum of Leaves Taken" measure="1" displayFolder="" measureGroup="Workforce_Data"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sks Completed]" caption="Sum of Tasks Completed" measure="1" displayFolder="" measureGroup="Workforce_Data" count="0" hidden="1">
      <extLst>
        <ext xmlns:x15="http://schemas.microsoft.com/office/spreadsheetml/2010/11/main" uri="{B97F6D7D-B522-45F9-BDA1-12C45D357490}">
          <x15:cacheHierarchy aggregatedColumn="13"/>
        </ext>
      </extLst>
    </cacheHierarchy>
    <cacheHierarchy uniqueName="[Measures].[Sum of Quality Score]" caption="Sum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Average of Quality Score]" caption="Average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Sum of Overtime Hours]" caption="Sum of Overtime Hours" measure="1" displayFolder="" measureGroup="Workforce_Data" count="0" hidden="1">
      <extLst>
        <ext xmlns:x15="http://schemas.microsoft.com/office/spreadsheetml/2010/11/main" uri="{B97F6D7D-B522-45F9-BDA1-12C45D357490}">
          <x15:cacheHierarchy aggregatedColumn="11"/>
        </ext>
      </extLst>
    </cacheHierarchy>
    <cacheHierarchy uniqueName="[Measures].[Count of Attendance %]" caption="Count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rget Achievement %]" caption="Sum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Average of Target Achievement %]" caption="Average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Workforce_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Workforce_Data" uniqueName="[Workforce_Data]" caption="Workforce_Data"/>
  </dimensions>
  <measureGroups count="1">
    <measureGroup name="Workforce_Data" caption="Workforce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42.889648842596" backgroundQuery="1" createdVersion="8" refreshedVersion="8" minRefreshableVersion="3" recordCount="0" supportSubquery="1" supportAdvancedDrill="1" xr:uid="{4FE3ECAC-6D36-41B1-B89D-948E783108BA}">
  <cacheSource type="external" connectionId="1"/>
  <cacheFields count="2">
    <cacheField name="[Workforce_Data].[Department].[Department]" caption="Department" numFmtId="0" hierarchy="4" level="1">
      <sharedItems count="1">
        <s v="HR"/>
      </sharedItems>
    </cacheField>
    <cacheField name="[Measures].[Average of Quality Score]" caption="Average of Quality Score" numFmtId="0" hierarchy="31" level="32767"/>
  </cacheFields>
  <cacheHierarchies count="37">
    <cacheHierarchy uniqueName="[Workforce_Data].[Employee ID]" caption="Employee ID" attribute="1" defaultMemberUniqueName="[Workforce_Data].[Employee ID].[All]" allUniqueName="[Workforce_Data].[Employee ID].[All]" dimensionUniqueName="[Workforce_Data]" displayFolder="" count="0" memberValueDatatype="130" unbalanced="0"/>
    <cacheHierarchy uniqueName="[Workforce_Data].[Employee Name]" caption="Employee Name" attribute="1" defaultMemberUniqueName="[Workforce_Data].[Employee Name].[All]" allUniqueName="[Workforce_Data].[Employee Name].[All]" dimensionUniqueName="[Workforce_Data]" displayFolder="" count="0" memberValueDatatype="130" unbalanced="0"/>
    <cacheHierarchy uniqueName="[Workforce_Data].[Gender]" caption="Gender" attribute="1" defaultMemberUniqueName="[Workforce_Data].[Gender].[All]" allUniqueName="[Workforce_Data].[Gender].[All]" dimensionUniqueName="[Workforce_Data]" displayFolder="" count="0" memberValueDatatype="130" unbalanced="0"/>
    <cacheHierarchy uniqueName="[Workforce_Data].[Employment Type]" caption="Employment Type" attribute="1" defaultMemberUniqueName="[Workforce_Data].[Employment Type].[All]" allUniqueName="[Workforce_Data].[Employment Type].[All]" dimensionUniqueName="[Workforce_Data]" displayFolder="" count="0" memberValueDatatype="130" unbalanced="0"/>
    <cacheHierarchy uniqueName="[Workforce_Data].[Department]" caption="Department" attribute="1" defaultMemberUniqueName="[Workforce_Data].[Department].[All]" allUniqueName="[Workforce_Data].[Department].[All]" dimensionUniqueName="[Workforce_Data]" displayFolder="" count="2" memberValueDatatype="130" unbalanced="0">
      <fieldsUsage count="2">
        <fieldUsage x="-1"/>
        <fieldUsage x="0"/>
      </fieldsUsage>
    </cacheHierarchy>
    <cacheHierarchy uniqueName="[Workforce_Data].[Team Lead]" caption="Team Lead" attribute="1" defaultMemberUniqueName="[Workforce_Data].[Team Lead].[All]" allUniqueName="[Workforce_Data].[Team Lead].[All]" dimensionUniqueName="[Workforce_Data]" displayFolder="" count="0" memberValueDatatype="130" unbalanced="0"/>
    <cacheHierarchy uniqueName="[Workforce_Data].[Location]" caption="Location" attribute="1" defaultMemberUniqueName="[Workforce_Data].[Location].[All]" allUniqueName="[Workforce_Data].[Location].[All]" dimensionUniqueName="[Workforce_Data]" displayFolder="" count="0" memberValueDatatype="130" unbalanced="0"/>
    <cacheHierarchy uniqueName="[Workforce_Data].[Shift]" caption="Shift" attribute="1" defaultMemberUniqueName="[Workforce_Data].[Shift].[All]" allUniqueName="[Workforce_Data].[Shift].[All]" dimensionUniqueName="[Workforce_Data]" displayFolder="" count="0" memberValueDatatype="130" unbalanced="0"/>
    <cacheHierarchy uniqueName="[Workforce_Data].[Month]" caption="Month" attribute="1" defaultMemberUniqueName="[Workforce_Data].[Month].[All]" allUniqueName="[Workforce_Data].[Month].[All]" dimensionUniqueName="[Workforce_Data]" displayFolder="" count="0" memberValueDatatype="130" unbalanced="0"/>
    <cacheHierarchy uniqueName="[Workforce_Data].[Attendance %]" caption="Attendance %" attribute="1" defaultMemberUniqueName="[Workforce_Data].[Attendance %].[All]" allUniqueName="[Workforce_Data].[Attendance %].[All]" dimensionUniqueName="[Workforce_Data]" displayFolder="" count="0" memberValueDatatype="20" unbalanced="0"/>
    <cacheHierarchy uniqueName="[Workforce_Data].[Leaves Taken]" caption="Leaves Taken" attribute="1" defaultMemberUniqueName="[Workforce_Data].[Leaves Taken].[All]" allUniqueName="[Workforce_Data].[Leaves Taken].[All]" dimensionUniqueName="[Workforce_Data]" displayFolder="" count="0" memberValueDatatype="20" unbalanced="0"/>
    <cacheHierarchy uniqueName="[Workforce_Data].[Overtime Hours]" caption="Overtime Hours" attribute="1" defaultMemberUniqueName="[Workforce_Data].[Overtime Hours].[All]" allUniqueName="[Workforce_Data].[Overtime Hours].[All]" dimensionUniqueName="[Workforce_Data]" displayFolder="" count="0" memberValueDatatype="20" unbalanced="0"/>
    <cacheHierarchy uniqueName="[Workforce_Data].[Tasks Assigned]" caption="Tasks Assigned" attribute="1" defaultMemberUniqueName="[Workforce_Data].[Tasks Assigned].[All]" allUniqueName="[Workforce_Data].[Tasks Assigned].[All]" dimensionUniqueName="[Workforce_Data]" displayFolder="" count="0" memberValueDatatype="20" unbalanced="0"/>
    <cacheHierarchy uniqueName="[Workforce_Data].[Tasks Completed]" caption="Tasks Completed" attribute="1" defaultMemberUniqueName="[Workforce_Data].[Tasks Completed].[All]" allUniqueName="[Workforce_Data].[Tasks Completed].[All]" dimensionUniqueName="[Workforce_Data]" displayFolder="" count="0" memberValueDatatype="20" unbalanced="0"/>
    <cacheHierarchy uniqueName="[Workforce_Data].[Productivity %]" caption="Productivity %" attribute="1" defaultMemberUniqueName="[Workforce_Data].[Productivity %].[All]" allUniqueName="[Workforce_Data].[Productivity %].[All]" dimensionUniqueName="[Workforce_Data]" displayFolder="" count="0" memberValueDatatype="5" unbalanced="0"/>
    <cacheHierarchy uniqueName="[Workforce_Data].[Quality Score]" caption="Quality Score" attribute="1" defaultMemberUniqueName="[Workforce_Data].[Quality Score].[All]" allUniqueName="[Workforce_Data].[Quality Score].[All]" dimensionUniqueName="[Workforce_Data]" displayFolder="" count="0" memberValueDatatype="5" unbalanced="0"/>
    <cacheHierarchy uniqueName="[Workforce_Data].[Target Achievement %]" caption="Target Achievement %" attribute="1" defaultMemberUniqueName="[Workforce_Data].[Target Achievement %].[All]" allUniqueName="[Workforce_Data].[Target Achievement %].[All]" dimensionUniqueName="[Workforce_Data]" displayFolder="" count="0" memberValueDatatype="5" unbalanced="0"/>
    <cacheHierarchy uniqueName="[Workforce_Data].[CSAT]" caption="CSAT" attribute="1" defaultMemberUniqueName="[Workforce_Data].[CSAT].[All]" allUniqueName="[Workforce_Data].[CSAT].[All]" dimensionUniqueName="[Workforce_Data]" displayFolder="" count="0" memberValueDatatype="5" unbalanced="0"/>
    <cacheHierarchy uniqueName="[Workforce_Data].[AHT (mins)]" caption="AHT (mins)" attribute="1" defaultMemberUniqueName="[Workforce_Data].[AHT (mins)].[All]" allUniqueName="[Workforce_Data].[AHT (mins)].[All]" dimensionUniqueName="[Workforce_Data]" displayFolder="" count="0" memberValueDatatype="5" unbalanced="0"/>
    <cacheHierarchy uniqueName="[Workforce_Data].[SLA Met]" caption="SLA Met" attribute="1" defaultMemberUniqueName="[Workforce_Data].[SLA Met].[All]" allUniqueName="[Workforce_Data].[SLA Met].[All]" dimensionUniqueName="[Workforce_Data]" displayFolder="" count="0" memberValueDatatype="130" unbalanced="0"/>
    <cacheHierarchy uniqueName="[Workforce_Data].[Escalations]" caption="Escalations" attribute="1" defaultMemberUniqueName="[Workforce_Data].[Escalations].[All]" allUniqueName="[Workforce_Data].[Escalations].[All]" dimensionUniqueName="[Workforce_Data]" displayFolder="" count="0" memberValueDatatype="20" unbalanced="0"/>
    <cacheHierarchy uniqueName="[Workforce_Data].[Training Hours]" caption="Training Hours" attribute="1" defaultMemberUniqueName="[Workforce_Data].[Training Hours].[All]" allUniqueName="[Workforce_Data].[Training Hours].[All]" dimensionUniqueName="[Workforce_Data]" displayFolder="" count="0" memberValueDatatype="20" unbalanced="0"/>
    <cacheHierarchy uniqueName="[Measures].[__XL_Count Workforce_Data]" caption="__XL_Count Workforce_Data" measure="1" displayFolder="" measureGroup="Workforce_Data" count="0" hidden="1"/>
    <cacheHierarchy uniqueName="[Measures].[__No measures defined]" caption="__No measures defined" measure="1" displayFolder="" count="0" hidden="1"/>
    <cacheHierarchy uniqueName="[Measures].[Sum of Productivity %]" caption="Sum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Average of Productivity %]" caption="Average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Sum of Attendance %]" caption="Sum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Leaves Taken]" caption="Sum of Leaves Taken" measure="1" displayFolder="" measureGroup="Workforce_Data"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sks Completed]" caption="Sum of Tasks Completed" measure="1" displayFolder="" measureGroup="Workforce_Data" count="0" hidden="1">
      <extLst>
        <ext xmlns:x15="http://schemas.microsoft.com/office/spreadsheetml/2010/11/main" uri="{B97F6D7D-B522-45F9-BDA1-12C45D357490}">
          <x15:cacheHierarchy aggregatedColumn="13"/>
        </ext>
      </extLst>
    </cacheHierarchy>
    <cacheHierarchy uniqueName="[Measures].[Sum of Quality Score]" caption="Sum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Average of Quality Score]" caption="Average of Quality Score" measure="1" displayFolder="" measureGroup="Workforce_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Overtime Hours]" caption="Sum of Overtime Hours" measure="1" displayFolder="" measureGroup="Workforce_Data" count="0" hidden="1">
      <extLst>
        <ext xmlns:x15="http://schemas.microsoft.com/office/spreadsheetml/2010/11/main" uri="{B97F6D7D-B522-45F9-BDA1-12C45D357490}">
          <x15:cacheHierarchy aggregatedColumn="11"/>
        </ext>
      </extLst>
    </cacheHierarchy>
    <cacheHierarchy uniqueName="[Measures].[Count of Attendance %]" caption="Count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rget Achievement %]" caption="Sum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Average of Target Achievement %]" caption="Average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Workforce_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Workforce_Data" uniqueName="[Workforce_Data]" caption="Workforce_Data"/>
  </dimensions>
  <measureGroups count="1">
    <measureGroup name="Workforce_Data" caption="Workforce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42.889650347221" backgroundQuery="1" createdVersion="8" refreshedVersion="8" minRefreshableVersion="3" recordCount="0" supportSubquery="1" supportAdvancedDrill="1" xr:uid="{B8CB3B3F-3FED-4558-9174-BF71C1A1CADB}">
  <cacheSource type="external" connectionId="1"/>
  <cacheFields count="2">
    <cacheField name="[Workforce_Data].[Department].[Department]" caption="Department" numFmtId="0" hierarchy="4" level="1">
      <sharedItems count="1">
        <s v="HR"/>
      </sharedItems>
    </cacheField>
    <cacheField name="[Measures].[Sum of Overtime Hours]" caption="Sum of Overtime Hours" numFmtId="0" hierarchy="32" level="32767"/>
  </cacheFields>
  <cacheHierarchies count="37">
    <cacheHierarchy uniqueName="[Workforce_Data].[Employee ID]" caption="Employee ID" attribute="1" defaultMemberUniqueName="[Workforce_Data].[Employee ID].[All]" allUniqueName="[Workforce_Data].[Employee ID].[All]" dimensionUniqueName="[Workforce_Data]" displayFolder="" count="0" memberValueDatatype="130" unbalanced="0"/>
    <cacheHierarchy uniqueName="[Workforce_Data].[Employee Name]" caption="Employee Name" attribute="1" defaultMemberUniqueName="[Workforce_Data].[Employee Name].[All]" allUniqueName="[Workforce_Data].[Employee Name].[All]" dimensionUniqueName="[Workforce_Data]" displayFolder="" count="0" memberValueDatatype="130" unbalanced="0"/>
    <cacheHierarchy uniqueName="[Workforce_Data].[Gender]" caption="Gender" attribute="1" defaultMemberUniqueName="[Workforce_Data].[Gender].[All]" allUniqueName="[Workforce_Data].[Gender].[All]" dimensionUniqueName="[Workforce_Data]" displayFolder="" count="0" memberValueDatatype="130" unbalanced="0"/>
    <cacheHierarchy uniqueName="[Workforce_Data].[Employment Type]" caption="Employment Type" attribute="1" defaultMemberUniqueName="[Workforce_Data].[Employment Type].[All]" allUniqueName="[Workforce_Data].[Employment Type].[All]" dimensionUniqueName="[Workforce_Data]" displayFolder="" count="0" memberValueDatatype="130" unbalanced="0"/>
    <cacheHierarchy uniqueName="[Workforce_Data].[Department]" caption="Department" attribute="1" defaultMemberUniqueName="[Workforce_Data].[Department].[All]" allUniqueName="[Workforce_Data].[Department].[All]" dimensionUniqueName="[Workforce_Data]" displayFolder="" count="2" memberValueDatatype="130" unbalanced="0">
      <fieldsUsage count="2">
        <fieldUsage x="-1"/>
        <fieldUsage x="0"/>
      </fieldsUsage>
    </cacheHierarchy>
    <cacheHierarchy uniqueName="[Workforce_Data].[Team Lead]" caption="Team Lead" attribute="1" defaultMemberUniqueName="[Workforce_Data].[Team Lead].[All]" allUniqueName="[Workforce_Data].[Team Lead].[All]" dimensionUniqueName="[Workforce_Data]" displayFolder="" count="0" memberValueDatatype="130" unbalanced="0"/>
    <cacheHierarchy uniqueName="[Workforce_Data].[Location]" caption="Location" attribute="1" defaultMemberUniqueName="[Workforce_Data].[Location].[All]" allUniqueName="[Workforce_Data].[Location].[All]" dimensionUniqueName="[Workforce_Data]" displayFolder="" count="0" memberValueDatatype="130" unbalanced="0"/>
    <cacheHierarchy uniqueName="[Workforce_Data].[Shift]" caption="Shift" attribute="1" defaultMemberUniqueName="[Workforce_Data].[Shift].[All]" allUniqueName="[Workforce_Data].[Shift].[All]" dimensionUniqueName="[Workforce_Data]" displayFolder="" count="0" memberValueDatatype="130" unbalanced="0"/>
    <cacheHierarchy uniqueName="[Workforce_Data].[Month]" caption="Month" attribute="1" defaultMemberUniqueName="[Workforce_Data].[Month].[All]" allUniqueName="[Workforce_Data].[Month].[All]" dimensionUniqueName="[Workforce_Data]" displayFolder="" count="0" memberValueDatatype="130" unbalanced="0"/>
    <cacheHierarchy uniqueName="[Workforce_Data].[Attendance %]" caption="Attendance %" attribute="1" defaultMemberUniqueName="[Workforce_Data].[Attendance %].[All]" allUniqueName="[Workforce_Data].[Attendance %].[All]" dimensionUniqueName="[Workforce_Data]" displayFolder="" count="0" memberValueDatatype="20" unbalanced="0"/>
    <cacheHierarchy uniqueName="[Workforce_Data].[Leaves Taken]" caption="Leaves Taken" attribute="1" defaultMemberUniqueName="[Workforce_Data].[Leaves Taken].[All]" allUniqueName="[Workforce_Data].[Leaves Taken].[All]" dimensionUniqueName="[Workforce_Data]" displayFolder="" count="0" memberValueDatatype="20" unbalanced="0"/>
    <cacheHierarchy uniqueName="[Workforce_Data].[Overtime Hours]" caption="Overtime Hours" attribute="1" defaultMemberUniqueName="[Workforce_Data].[Overtime Hours].[All]" allUniqueName="[Workforce_Data].[Overtime Hours].[All]" dimensionUniqueName="[Workforce_Data]" displayFolder="" count="0" memberValueDatatype="20" unbalanced="0"/>
    <cacheHierarchy uniqueName="[Workforce_Data].[Tasks Assigned]" caption="Tasks Assigned" attribute="1" defaultMemberUniqueName="[Workforce_Data].[Tasks Assigned].[All]" allUniqueName="[Workforce_Data].[Tasks Assigned].[All]" dimensionUniqueName="[Workforce_Data]" displayFolder="" count="0" memberValueDatatype="20" unbalanced="0"/>
    <cacheHierarchy uniqueName="[Workforce_Data].[Tasks Completed]" caption="Tasks Completed" attribute="1" defaultMemberUniqueName="[Workforce_Data].[Tasks Completed].[All]" allUniqueName="[Workforce_Data].[Tasks Completed].[All]" dimensionUniqueName="[Workforce_Data]" displayFolder="" count="0" memberValueDatatype="20" unbalanced="0"/>
    <cacheHierarchy uniqueName="[Workforce_Data].[Productivity %]" caption="Productivity %" attribute="1" defaultMemberUniqueName="[Workforce_Data].[Productivity %].[All]" allUniqueName="[Workforce_Data].[Productivity %].[All]" dimensionUniqueName="[Workforce_Data]" displayFolder="" count="0" memberValueDatatype="5" unbalanced="0"/>
    <cacheHierarchy uniqueName="[Workforce_Data].[Quality Score]" caption="Quality Score" attribute="1" defaultMemberUniqueName="[Workforce_Data].[Quality Score].[All]" allUniqueName="[Workforce_Data].[Quality Score].[All]" dimensionUniqueName="[Workforce_Data]" displayFolder="" count="0" memberValueDatatype="5" unbalanced="0"/>
    <cacheHierarchy uniqueName="[Workforce_Data].[Target Achievement %]" caption="Target Achievement %" attribute="1" defaultMemberUniqueName="[Workforce_Data].[Target Achievement %].[All]" allUniqueName="[Workforce_Data].[Target Achievement %].[All]" dimensionUniqueName="[Workforce_Data]" displayFolder="" count="0" memberValueDatatype="5" unbalanced="0"/>
    <cacheHierarchy uniqueName="[Workforce_Data].[CSAT]" caption="CSAT" attribute="1" defaultMemberUniqueName="[Workforce_Data].[CSAT].[All]" allUniqueName="[Workforce_Data].[CSAT].[All]" dimensionUniqueName="[Workforce_Data]" displayFolder="" count="0" memberValueDatatype="5" unbalanced="0"/>
    <cacheHierarchy uniqueName="[Workforce_Data].[AHT (mins)]" caption="AHT (mins)" attribute="1" defaultMemberUniqueName="[Workforce_Data].[AHT (mins)].[All]" allUniqueName="[Workforce_Data].[AHT (mins)].[All]" dimensionUniqueName="[Workforce_Data]" displayFolder="" count="0" memberValueDatatype="5" unbalanced="0"/>
    <cacheHierarchy uniqueName="[Workforce_Data].[SLA Met]" caption="SLA Met" attribute="1" defaultMemberUniqueName="[Workforce_Data].[SLA Met].[All]" allUniqueName="[Workforce_Data].[SLA Met].[All]" dimensionUniqueName="[Workforce_Data]" displayFolder="" count="0" memberValueDatatype="130" unbalanced="0"/>
    <cacheHierarchy uniqueName="[Workforce_Data].[Escalations]" caption="Escalations" attribute="1" defaultMemberUniqueName="[Workforce_Data].[Escalations].[All]" allUniqueName="[Workforce_Data].[Escalations].[All]" dimensionUniqueName="[Workforce_Data]" displayFolder="" count="0" memberValueDatatype="20" unbalanced="0"/>
    <cacheHierarchy uniqueName="[Workforce_Data].[Training Hours]" caption="Training Hours" attribute="1" defaultMemberUniqueName="[Workforce_Data].[Training Hours].[All]" allUniqueName="[Workforce_Data].[Training Hours].[All]" dimensionUniqueName="[Workforce_Data]" displayFolder="" count="0" memberValueDatatype="20" unbalanced="0"/>
    <cacheHierarchy uniqueName="[Measures].[__XL_Count Workforce_Data]" caption="__XL_Count Workforce_Data" measure="1" displayFolder="" measureGroup="Workforce_Data" count="0" hidden="1"/>
    <cacheHierarchy uniqueName="[Measures].[__No measures defined]" caption="__No measures defined" measure="1" displayFolder="" count="0" hidden="1"/>
    <cacheHierarchy uniqueName="[Measures].[Sum of Productivity %]" caption="Sum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Average of Productivity %]" caption="Average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Sum of Attendance %]" caption="Sum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Leaves Taken]" caption="Sum of Leaves Taken" measure="1" displayFolder="" measureGroup="Workforce_Data"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sks Completed]" caption="Sum of Tasks Completed" measure="1" displayFolder="" measureGroup="Workforce_Data" count="0" hidden="1">
      <extLst>
        <ext xmlns:x15="http://schemas.microsoft.com/office/spreadsheetml/2010/11/main" uri="{B97F6D7D-B522-45F9-BDA1-12C45D357490}">
          <x15:cacheHierarchy aggregatedColumn="13"/>
        </ext>
      </extLst>
    </cacheHierarchy>
    <cacheHierarchy uniqueName="[Measures].[Sum of Quality Score]" caption="Sum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Average of Quality Score]" caption="Average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Sum of Overtime Hours]" caption="Sum of Overtime Hours" measure="1" displayFolder="" measureGroup="Workforce_Data"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Attendance %]" caption="Count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rget Achievement %]" caption="Sum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Average of Target Achievement %]" caption="Average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Workforce_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Workforce_Data" uniqueName="[Workforce_Data]" caption="Workforce_Data"/>
  </dimensions>
  <measureGroups count="1">
    <measureGroup name="Workforce_Data" caption="Workforce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42.889652199075" backgroundQuery="1" createdVersion="8" refreshedVersion="8" minRefreshableVersion="3" recordCount="0" supportSubquery="1" supportAdvancedDrill="1" xr:uid="{AA0B3656-0C34-411E-898D-944AC9AB18FB}">
  <cacheSource type="external" connectionId="1"/>
  <cacheFields count="5">
    <cacheField name="[Workforce_Data].[Employee Name].[Employee Name]" caption="Employee Name" numFmtId="0" hierarchy="1" level="1">
      <sharedItems count="10">
        <s v="Aditya Joshi"/>
        <s v="Ananya Patel"/>
        <s v="Arjun Reddy"/>
        <s v="Dev Nair"/>
        <s v="Isha Verma"/>
        <s v="Nisha Verma"/>
        <s v="Priya Reddy"/>
        <s v="Rahul Sharma"/>
        <s v="Rohan Reddy"/>
        <s v="Yash Mehta"/>
      </sharedItems>
    </cacheField>
    <cacheField name="[Measures].[Average of Productivity %]" caption="Average of Productivity %" numFmtId="0" hierarchy="25" level="32767"/>
    <cacheField name="[Measures].[Average of Target Achievement %]" caption="Average of Target Achievement %" numFmtId="0" hierarchy="35" level="32767"/>
    <cacheField name="[Measures].[Average of Attendance %]" caption="Average of Attendance %" numFmtId="0" hierarchy="28" level="32767"/>
    <cacheField name="[Workforce_Data].[Department].[Department]" caption="Department" numFmtId="0" hierarchy="4" level="1">
      <sharedItems containsSemiMixedTypes="0" containsNonDate="0" containsString="0"/>
    </cacheField>
  </cacheFields>
  <cacheHierarchies count="37">
    <cacheHierarchy uniqueName="[Workforce_Data].[Employee ID]" caption="Employee ID" attribute="1" defaultMemberUniqueName="[Workforce_Data].[Employee ID].[All]" allUniqueName="[Workforce_Data].[Employee ID].[All]" dimensionUniqueName="[Workforce_Data]" displayFolder="" count="0" memberValueDatatype="130" unbalanced="0"/>
    <cacheHierarchy uniqueName="[Workforce_Data].[Employee Name]" caption="Employee Name" attribute="1" defaultMemberUniqueName="[Workforce_Data].[Employee Name].[All]" allUniqueName="[Workforce_Data].[Employee Name].[All]" dimensionUniqueName="[Workforce_Data]" displayFolder="" count="2" memberValueDatatype="130" unbalanced="0">
      <fieldsUsage count="2">
        <fieldUsage x="-1"/>
        <fieldUsage x="0"/>
      </fieldsUsage>
    </cacheHierarchy>
    <cacheHierarchy uniqueName="[Workforce_Data].[Gender]" caption="Gender" attribute="1" defaultMemberUniqueName="[Workforce_Data].[Gender].[All]" allUniqueName="[Workforce_Data].[Gender].[All]" dimensionUniqueName="[Workforce_Data]" displayFolder="" count="0" memberValueDatatype="130" unbalanced="0"/>
    <cacheHierarchy uniqueName="[Workforce_Data].[Employment Type]" caption="Employment Type" attribute="1" defaultMemberUniqueName="[Workforce_Data].[Employment Type].[All]" allUniqueName="[Workforce_Data].[Employment Type].[All]" dimensionUniqueName="[Workforce_Data]" displayFolder="" count="0" memberValueDatatype="130" unbalanced="0"/>
    <cacheHierarchy uniqueName="[Workforce_Data].[Department]" caption="Department" attribute="1" defaultMemberUniqueName="[Workforce_Data].[Department].[All]" allUniqueName="[Workforce_Data].[Department].[All]" dimensionUniqueName="[Workforce_Data]" displayFolder="" count="2" memberValueDatatype="130" unbalanced="0">
      <fieldsUsage count="2">
        <fieldUsage x="-1"/>
        <fieldUsage x="4"/>
      </fieldsUsage>
    </cacheHierarchy>
    <cacheHierarchy uniqueName="[Workforce_Data].[Team Lead]" caption="Team Lead" attribute="1" defaultMemberUniqueName="[Workforce_Data].[Team Lead].[All]" allUniqueName="[Workforce_Data].[Team Lead].[All]" dimensionUniqueName="[Workforce_Data]" displayFolder="" count="0" memberValueDatatype="130" unbalanced="0"/>
    <cacheHierarchy uniqueName="[Workforce_Data].[Location]" caption="Location" attribute="1" defaultMemberUniqueName="[Workforce_Data].[Location].[All]" allUniqueName="[Workforce_Data].[Location].[All]" dimensionUniqueName="[Workforce_Data]" displayFolder="" count="0" memberValueDatatype="130" unbalanced="0"/>
    <cacheHierarchy uniqueName="[Workforce_Data].[Shift]" caption="Shift" attribute="1" defaultMemberUniqueName="[Workforce_Data].[Shift].[All]" allUniqueName="[Workforce_Data].[Shift].[All]" dimensionUniqueName="[Workforce_Data]" displayFolder="" count="0" memberValueDatatype="130" unbalanced="0"/>
    <cacheHierarchy uniqueName="[Workforce_Data].[Month]" caption="Month" attribute="1" defaultMemberUniqueName="[Workforce_Data].[Month].[All]" allUniqueName="[Workforce_Data].[Month].[All]" dimensionUniqueName="[Workforce_Data]" displayFolder="" count="0" memberValueDatatype="130" unbalanced="0"/>
    <cacheHierarchy uniqueName="[Workforce_Data].[Attendance %]" caption="Attendance %" attribute="1" defaultMemberUniqueName="[Workforce_Data].[Attendance %].[All]" allUniqueName="[Workforce_Data].[Attendance %].[All]" dimensionUniqueName="[Workforce_Data]" displayFolder="" count="0" memberValueDatatype="20" unbalanced="0"/>
    <cacheHierarchy uniqueName="[Workforce_Data].[Leaves Taken]" caption="Leaves Taken" attribute="1" defaultMemberUniqueName="[Workforce_Data].[Leaves Taken].[All]" allUniqueName="[Workforce_Data].[Leaves Taken].[All]" dimensionUniqueName="[Workforce_Data]" displayFolder="" count="0" memberValueDatatype="20" unbalanced="0"/>
    <cacheHierarchy uniqueName="[Workforce_Data].[Overtime Hours]" caption="Overtime Hours" attribute="1" defaultMemberUniqueName="[Workforce_Data].[Overtime Hours].[All]" allUniqueName="[Workforce_Data].[Overtime Hours].[All]" dimensionUniqueName="[Workforce_Data]" displayFolder="" count="0" memberValueDatatype="20" unbalanced="0"/>
    <cacheHierarchy uniqueName="[Workforce_Data].[Tasks Assigned]" caption="Tasks Assigned" attribute="1" defaultMemberUniqueName="[Workforce_Data].[Tasks Assigned].[All]" allUniqueName="[Workforce_Data].[Tasks Assigned].[All]" dimensionUniqueName="[Workforce_Data]" displayFolder="" count="0" memberValueDatatype="20" unbalanced="0"/>
    <cacheHierarchy uniqueName="[Workforce_Data].[Tasks Completed]" caption="Tasks Completed" attribute="1" defaultMemberUniqueName="[Workforce_Data].[Tasks Completed].[All]" allUniqueName="[Workforce_Data].[Tasks Completed].[All]" dimensionUniqueName="[Workforce_Data]" displayFolder="" count="0" memberValueDatatype="20" unbalanced="0"/>
    <cacheHierarchy uniqueName="[Workforce_Data].[Productivity %]" caption="Productivity %" attribute="1" defaultMemberUniqueName="[Workforce_Data].[Productivity %].[All]" allUniqueName="[Workforce_Data].[Productivity %].[All]" dimensionUniqueName="[Workforce_Data]" displayFolder="" count="0" memberValueDatatype="5" unbalanced="0"/>
    <cacheHierarchy uniqueName="[Workforce_Data].[Quality Score]" caption="Quality Score" attribute="1" defaultMemberUniqueName="[Workforce_Data].[Quality Score].[All]" allUniqueName="[Workforce_Data].[Quality Score].[All]" dimensionUniqueName="[Workforce_Data]" displayFolder="" count="0" memberValueDatatype="5" unbalanced="0"/>
    <cacheHierarchy uniqueName="[Workforce_Data].[Target Achievement %]" caption="Target Achievement %" attribute="1" defaultMemberUniqueName="[Workforce_Data].[Target Achievement %].[All]" allUniqueName="[Workforce_Data].[Target Achievement %].[All]" dimensionUniqueName="[Workforce_Data]" displayFolder="" count="0" memberValueDatatype="5" unbalanced="0"/>
    <cacheHierarchy uniqueName="[Workforce_Data].[CSAT]" caption="CSAT" attribute="1" defaultMemberUniqueName="[Workforce_Data].[CSAT].[All]" allUniqueName="[Workforce_Data].[CSAT].[All]" dimensionUniqueName="[Workforce_Data]" displayFolder="" count="0" memberValueDatatype="5" unbalanced="0"/>
    <cacheHierarchy uniqueName="[Workforce_Data].[AHT (mins)]" caption="AHT (mins)" attribute="1" defaultMemberUniqueName="[Workforce_Data].[AHT (mins)].[All]" allUniqueName="[Workforce_Data].[AHT (mins)].[All]" dimensionUniqueName="[Workforce_Data]" displayFolder="" count="0" memberValueDatatype="5" unbalanced="0"/>
    <cacheHierarchy uniqueName="[Workforce_Data].[SLA Met]" caption="SLA Met" attribute="1" defaultMemberUniqueName="[Workforce_Data].[SLA Met].[All]" allUniqueName="[Workforce_Data].[SLA Met].[All]" dimensionUniqueName="[Workforce_Data]" displayFolder="" count="0" memberValueDatatype="130" unbalanced="0"/>
    <cacheHierarchy uniqueName="[Workforce_Data].[Escalations]" caption="Escalations" attribute="1" defaultMemberUniqueName="[Workforce_Data].[Escalations].[All]" allUniqueName="[Workforce_Data].[Escalations].[All]" dimensionUniqueName="[Workforce_Data]" displayFolder="" count="0" memberValueDatatype="20" unbalanced="0"/>
    <cacheHierarchy uniqueName="[Workforce_Data].[Training Hours]" caption="Training Hours" attribute="1" defaultMemberUniqueName="[Workforce_Data].[Training Hours].[All]" allUniqueName="[Workforce_Data].[Training Hours].[All]" dimensionUniqueName="[Workforce_Data]" displayFolder="" count="0" memberValueDatatype="20" unbalanced="0"/>
    <cacheHierarchy uniqueName="[Measures].[__XL_Count Workforce_Data]" caption="__XL_Count Workforce_Data" measure="1" displayFolder="" measureGroup="Workforce_Data" count="0" hidden="1"/>
    <cacheHierarchy uniqueName="[Measures].[__No measures defined]" caption="__No measures defined" measure="1" displayFolder="" count="0" hidden="1"/>
    <cacheHierarchy uniqueName="[Measures].[Sum of Productivity %]" caption="Sum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Average of Productivity %]" caption="Average of Productivity %" measure="1" displayFolder="" measureGroup="Workforce_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Attendance %]" caption="Sum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Leaves Taken]" caption="Sum of Leaves Taken" measure="1" displayFolder="" measureGroup="Workforce_Data"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Workforce_Data" count="0" oneField="1" hidden="1">
      <fieldsUsage count="1">
        <fieldUsage x="3"/>
      </fieldsUsage>
      <extLst>
        <ext xmlns:x15="http://schemas.microsoft.com/office/spreadsheetml/2010/11/main" uri="{B97F6D7D-B522-45F9-BDA1-12C45D357490}">
          <x15:cacheHierarchy aggregatedColumn="9"/>
        </ext>
      </extLst>
    </cacheHierarchy>
    <cacheHierarchy uniqueName="[Measures].[Sum of Tasks Completed]" caption="Sum of Tasks Completed" measure="1" displayFolder="" measureGroup="Workforce_Data" count="0" hidden="1">
      <extLst>
        <ext xmlns:x15="http://schemas.microsoft.com/office/spreadsheetml/2010/11/main" uri="{B97F6D7D-B522-45F9-BDA1-12C45D357490}">
          <x15:cacheHierarchy aggregatedColumn="13"/>
        </ext>
      </extLst>
    </cacheHierarchy>
    <cacheHierarchy uniqueName="[Measures].[Sum of Quality Score]" caption="Sum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Average of Quality Score]" caption="Average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Sum of Overtime Hours]" caption="Sum of Overtime Hours" measure="1" displayFolder="" measureGroup="Workforce_Data" count="0" hidden="1">
      <extLst>
        <ext xmlns:x15="http://schemas.microsoft.com/office/spreadsheetml/2010/11/main" uri="{B97F6D7D-B522-45F9-BDA1-12C45D357490}">
          <x15:cacheHierarchy aggregatedColumn="11"/>
        </ext>
      </extLst>
    </cacheHierarchy>
    <cacheHierarchy uniqueName="[Measures].[Count of Attendance %]" caption="Count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rget Achievement %]" caption="Sum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Average of Target Achievement %]" caption="Average of Target Achievement %" measure="1" displayFolder="" measureGroup="Workforce_Data"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Workforce_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Workforce_Data" uniqueName="[Workforce_Data]" caption="Workforce_Data"/>
  </dimensions>
  <measureGroups count="1">
    <measureGroup name="Workforce_Data" caption="Workforce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42.88679409722" backgroundQuery="1" createdVersion="3" refreshedVersion="8" minRefreshableVersion="3" recordCount="0" supportSubquery="1" supportAdvancedDrill="1" xr:uid="{75D82EEB-8465-4784-BEC8-57A0CDFCF42A}">
  <cacheSource type="external" connectionId="1">
    <extLst>
      <ext xmlns:x14="http://schemas.microsoft.com/office/spreadsheetml/2009/9/main" uri="{F057638F-6D5F-4e77-A914-E7F072B9BCA8}">
        <x14:sourceConnection name="ThisWorkbookDataModel"/>
      </ext>
    </extLst>
  </cacheSource>
  <cacheFields count="0"/>
  <cacheHierarchies count="37">
    <cacheHierarchy uniqueName="[Workforce_Data].[Employee ID]" caption="Employee ID" attribute="1" defaultMemberUniqueName="[Workforce_Data].[Employee ID].[All]" allUniqueName="[Workforce_Data].[Employee ID].[All]" dimensionUniqueName="[Workforce_Data]" displayFolder="" count="0" memberValueDatatype="130" unbalanced="0"/>
    <cacheHierarchy uniqueName="[Workforce_Data].[Employee Name]" caption="Employee Name" attribute="1" defaultMemberUniqueName="[Workforce_Data].[Employee Name].[All]" allUniqueName="[Workforce_Data].[Employee Name].[All]" dimensionUniqueName="[Workforce_Data]" displayFolder="" count="0" memberValueDatatype="130" unbalanced="0"/>
    <cacheHierarchy uniqueName="[Workforce_Data].[Gender]" caption="Gender" attribute="1" defaultMemberUniqueName="[Workforce_Data].[Gender].[All]" allUniqueName="[Workforce_Data].[Gender].[All]" dimensionUniqueName="[Workforce_Data]" displayFolder="" count="0" memberValueDatatype="130" unbalanced="0"/>
    <cacheHierarchy uniqueName="[Workforce_Data].[Employment Type]" caption="Employment Type" attribute="1" defaultMemberUniqueName="[Workforce_Data].[Employment Type].[All]" allUniqueName="[Workforce_Data].[Employment Type].[All]" dimensionUniqueName="[Workforce_Data]" displayFolder="" count="0" memberValueDatatype="130" unbalanced="0"/>
    <cacheHierarchy uniqueName="[Workforce_Data].[Department]" caption="Department" attribute="1" defaultMemberUniqueName="[Workforce_Data].[Department].[All]" allUniqueName="[Workforce_Data].[Department].[All]" dimensionUniqueName="[Workforce_Data]" displayFolder="" count="2" memberValueDatatype="130" unbalanced="0"/>
    <cacheHierarchy uniqueName="[Workforce_Data].[Team Lead]" caption="Team Lead" attribute="1" defaultMemberUniqueName="[Workforce_Data].[Team Lead].[All]" allUniqueName="[Workforce_Data].[Team Lead].[All]" dimensionUniqueName="[Workforce_Data]" displayFolder="" count="0" memberValueDatatype="130" unbalanced="0"/>
    <cacheHierarchy uniqueName="[Workforce_Data].[Location]" caption="Location" attribute="1" defaultMemberUniqueName="[Workforce_Data].[Location].[All]" allUniqueName="[Workforce_Data].[Location].[All]" dimensionUniqueName="[Workforce_Data]" displayFolder="" count="0" memberValueDatatype="130" unbalanced="0"/>
    <cacheHierarchy uniqueName="[Workforce_Data].[Shift]" caption="Shift" attribute="1" defaultMemberUniqueName="[Workforce_Data].[Shift].[All]" allUniqueName="[Workforce_Data].[Shift].[All]" dimensionUniqueName="[Workforce_Data]" displayFolder="" count="0" memberValueDatatype="130" unbalanced="0"/>
    <cacheHierarchy uniqueName="[Workforce_Data].[Month]" caption="Month" attribute="1" defaultMemberUniqueName="[Workforce_Data].[Month].[All]" allUniqueName="[Workforce_Data].[Month].[All]" dimensionUniqueName="[Workforce_Data]" displayFolder="" count="0" memberValueDatatype="130" unbalanced="0"/>
    <cacheHierarchy uniqueName="[Workforce_Data].[Attendance %]" caption="Attendance %" attribute="1" defaultMemberUniqueName="[Workforce_Data].[Attendance %].[All]" allUniqueName="[Workforce_Data].[Attendance %].[All]" dimensionUniqueName="[Workforce_Data]" displayFolder="" count="0" memberValueDatatype="20" unbalanced="0"/>
    <cacheHierarchy uniqueName="[Workforce_Data].[Leaves Taken]" caption="Leaves Taken" attribute="1" defaultMemberUniqueName="[Workforce_Data].[Leaves Taken].[All]" allUniqueName="[Workforce_Data].[Leaves Taken].[All]" dimensionUniqueName="[Workforce_Data]" displayFolder="" count="0" memberValueDatatype="20" unbalanced="0"/>
    <cacheHierarchy uniqueName="[Workforce_Data].[Overtime Hours]" caption="Overtime Hours" attribute="1" defaultMemberUniqueName="[Workforce_Data].[Overtime Hours].[All]" allUniqueName="[Workforce_Data].[Overtime Hours].[All]" dimensionUniqueName="[Workforce_Data]" displayFolder="" count="0" memberValueDatatype="20" unbalanced="0"/>
    <cacheHierarchy uniqueName="[Workforce_Data].[Tasks Assigned]" caption="Tasks Assigned" attribute="1" defaultMemberUniqueName="[Workforce_Data].[Tasks Assigned].[All]" allUniqueName="[Workforce_Data].[Tasks Assigned].[All]" dimensionUniqueName="[Workforce_Data]" displayFolder="" count="0" memberValueDatatype="20" unbalanced="0"/>
    <cacheHierarchy uniqueName="[Workforce_Data].[Tasks Completed]" caption="Tasks Completed" attribute="1" defaultMemberUniqueName="[Workforce_Data].[Tasks Completed].[All]" allUniqueName="[Workforce_Data].[Tasks Completed].[All]" dimensionUniqueName="[Workforce_Data]" displayFolder="" count="0" memberValueDatatype="20" unbalanced="0"/>
    <cacheHierarchy uniqueName="[Workforce_Data].[Productivity %]" caption="Productivity %" attribute="1" defaultMemberUniqueName="[Workforce_Data].[Productivity %].[All]" allUniqueName="[Workforce_Data].[Productivity %].[All]" dimensionUniqueName="[Workforce_Data]" displayFolder="" count="0" memberValueDatatype="5" unbalanced="0"/>
    <cacheHierarchy uniqueName="[Workforce_Data].[Quality Score]" caption="Quality Score" attribute="1" defaultMemberUniqueName="[Workforce_Data].[Quality Score].[All]" allUniqueName="[Workforce_Data].[Quality Score].[All]" dimensionUniqueName="[Workforce_Data]" displayFolder="" count="0" memberValueDatatype="5" unbalanced="0"/>
    <cacheHierarchy uniqueName="[Workforce_Data].[Target Achievement %]" caption="Target Achievement %" attribute="1" defaultMemberUniqueName="[Workforce_Data].[Target Achievement %].[All]" allUniqueName="[Workforce_Data].[Target Achievement %].[All]" dimensionUniqueName="[Workforce_Data]" displayFolder="" count="0" memberValueDatatype="5" unbalanced="0"/>
    <cacheHierarchy uniqueName="[Workforce_Data].[CSAT]" caption="CSAT" attribute="1" defaultMemberUniqueName="[Workforce_Data].[CSAT].[All]" allUniqueName="[Workforce_Data].[CSAT].[All]" dimensionUniqueName="[Workforce_Data]" displayFolder="" count="0" memberValueDatatype="5" unbalanced="0"/>
    <cacheHierarchy uniqueName="[Workforce_Data].[AHT (mins)]" caption="AHT (mins)" attribute="1" defaultMemberUniqueName="[Workforce_Data].[AHT (mins)].[All]" allUniqueName="[Workforce_Data].[AHT (mins)].[All]" dimensionUniqueName="[Workforce_Data]" displayFolder="" count="0" memberValueDatatype="5" unbalanced="0"/>
    <cacheHierarchy uniqueName="[Workforce_Data].[SLA Met]" caption="SLA Met" attribute="1" defaultMemberUniqueName="[Workforce_Data].[SLA Met].[All]" allUniqueName="[Workforce_Data].[SLA Met].[All]" dimensionUniqueName="[Workforce_Data]" displayFolder="" count="0" memberValueDatatype="130" unbalanced="0"/>
    <cacheHierarchy uniqueName="[Workforce_Data].[Escalations]" caption="Escalations" attribute="1" defaultMemberUniqueName="[Workforce_Data].[Escalations].[All]" allUniqueName="[Workforce_Data].[Escalations].[All]" dimensionUniqueName="[Workforce_Data]" displayFolder="" count="0" memberValueDatatype="20" unbalanced="0"/>
    <cacheHierarchy uniqueName="[Workforce_Data].[Training Hours]" caption="Training Hours" attribute="1" defaultMemberUniqueName="[Workforce_Data].[Training Hours].[All]" allUniqueName="[Workforce_Data].[Training Hours].[All]" dimensionUniqueName="[Workforce_Data]" displayFolder="" count="0" memberValueDatatype="20" unbalanced="0"/>
    <cacheHierarchy uniqueName="[Measures].[__XL_Count Workforce_Data]" caption="__XL_Count Workforce_Data" measure="1" displayFolder="" measureGroup="Workforce_Data" count="0" hidden="1"/>
    <cacheHierarchy uniqueName="[Measures].[__No measures defined]" caption="__No measures defined" measure="1" displayFolder="" count="0" hidden="1"/>
    <cacheHierarchy uniqueName="[Measures].[Sum of Productivity %]" caption="Sum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Average of Productivity %]" caption="Average of Productivity %" measure="1" displayFolder="" measureGroup="Workforce_Data" count="0" hidden="1">
      <extLst>
        <ext xmlns:x15="http://schemas.microsoft.com/office/spreadsheetml/2010/11/main" uri="{B97F6D7D-B522-45F9-BDA1-12C45D357490}">
          <x15:cacheHierarchy aggregatedColumn="14"/>
        </ext>
      </extLst>
    </cacheHierarchy>
    <cacheHierarchy uniqueName="[Measures].[Sum of Attendance %]" caption="Sum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Leaves Taken]" caption="Sum of Leaves Taken" measure="1" displayFolder="" measureGroup="Workforce_Data"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sks Completed]" caption="Sum of Tasks Completed" measure="1" displayFolder="" measureGroup="Workforce_Data" count="0" hidden="1">
      <extLst>
        <ext xmlns:x15="http://schemas.microsoft.com/office/spreadsheetml/2010/11/main" uri="{B97F6D7D-B522-45F9-BDA1-12C45D357490}">
          <x15:cacheHierarchy aggregatedColumn="13"/>
        </ext>
      </extLst>
    </cacheHierarchy>
    <cacheHierarchy uniqueName="[Measures].[Sum of Quality Score]" caption="Sum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Average of Quality Score]" caption="Average of Quality Score" measure="1" displayFolder="" measureGroup="Workforce_Data" count="0" hidden="1">
      <extLst>
        <ext xmlns:x15="http://schemas.microsoft.com/office/spreadsheetml/2010/11/main" uri="{B97F6D7D-B522-45F9-BDA1-12C45D357490}">
          <x15:cacheHierarchy aggregatedColumn="15"/>
        </ext>
      </extLst>
    </cacheHierarchy>
    <cacheHierarchy uniqueName="[Measures].[Sum of Overtime Hours]" caption="Sum of Overtime Hours" measure="1" displayFolder="" measureGroup="Workforce_Data" count="0" hidden="1">
      <extLst>
        <ext xmlns:x15="http://schemas.microsoft.com/office/spreadsheetml/2010/11/main" uri="{B97F6D7D-B522-45F9-BDA1-12C45D357490}">
          <x15:cacheHierarchy aggregatedColumn="11"/>
        </ext>
      </extLst>
    </cacheHierarchy>
    <cacheHierarchy uniqueName="[Measures].[Count of Attendance %]" caption="Count of Attendance %" measure="1" displayFolder="" measureGroup="Workforce_Data" count="0" hidden="1">
      <extLst>
        <ext xmlns:x15="http://schemas.microsoft.com/office/spreadsheetml/2010/11/main" uri="{B97F6D7D-B522-45F9-BDA1-12C45D357490}">
          <x15:cacheHierarchy aggregatedColumn="9"/>
        </ext>
      </extLst>
    </cacheHierarchy>
    <cacheHierarchy uniqueName="[Measures].[Sum of Target Achievement %]" caption="Sum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Average of Target Achievement %]" caption="Average of Target Achievement %" measure="1" displayFolder="" measureGroup="Workforce_Data" count="0" hidden="1">
      <extLst>
        <ext xmlns:x15="http://schemas.microsoft.com/office/spreadsheetml/2010/11/main" uri="{B97F6D7D-B522-45F9-BDA1-12C45D357490}">
          <x15:cacheHierarchy aggregatedColumn="16"/>
        </ext>
      </extLst>
    </cacheHierarchy>
    <cacheHierarchy uniqueName="[Measures].[Count of Employee ID]" caption="Count of Employee ID" measure="1" displayFolder="" measureGroup="Workforce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1883910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128E08-7CD6-4D76-88C6-FC3E26CC3639}" name="PivotTable5"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A39:B41" firstHeaderRow="1" firstDataRow="1" firstDataCol="1"/>
  <pivotFields count="2">
    <pivotField axis="axisRow" allDrilled="1" subtotalTop="0" showAll="0" dataSourceSort="1" defaultSubtotal="0" defaultAttributeDrillState="1">
      <items count="1">
        <item s="1" x="0"/>
      </items>
    </pivotField>
    <pivotField dataField="1" subtotalTop="0" showAll="0" defaultSubtotal="0"/>
  </pivotFields>
  <rowFields count="1">
    <field x="0"/>
  </rowFields>
  <rowItems count="2">
    <i>
      <x/>
    </i>
    <i t="grand">
      <x/>
    </i>
  </rowItems>
  <colItems count="1">
    <i/>
  </colItems>
  <dataFields count="1">
    <dataField name="Average of Attendance %" fld="1" subtotal="average" baseField="0" baseItem="2"/>
  </dataFields>
  <formats count="2">
    <format dxfId="2">
      <pivotArea collapsedLevelsAreSubtotals="1" fieldPosition="0">
        <references count="1">
          <reference field="0" count="0"/>
        </references>
      </pivotArea>
    </format>
    <format dxfId="1">
      <pivotArea grandRow="1"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3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ttendance %"/>
    <pivotHierarchy dragToData="1"/>
    <pivotHierarchy dragToData="1"/>
    <pivotHierarchy dragToData="1"/>
    <pivotHierarchy dragToData="1"/>
    <pivotHierarchy dragToData="1" caption="Count of Attendance %"/>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rations_Workforce_MIS_Dataset_Enhanced.xlsx!Workforce_Data">
        <x15:activeTabTopLevelEntity name="[Workforc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FACAF8-8B40-4A5C-B9D8-F9E94C1C226C}" name="PivotTable4"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5">
  <location ref="A29:B36"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Average of Productivity %" fld="1" subtotal="average" baseField="0" baseItem="2" numFmtId="164"/>
  </dataFields>
  <formats count="2">
    <format dxfId="4">
      <pivotArea outline="0" collapsedLevelsAreSubtotals="1" fieldPosition="0"/>
    </format>
    <format dxfId="3">
      <pivotArea outline="0" fieldPosition="0">
        <references count="1">
          <reference field="4294967294" count="1">
            <x v="0"/>
          </reference>
        </references>
      </pivotArea>
    </format>
  </formats>
  <chartFormats count="4">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Hierarchies count="37">
    <pivotHierarchy dragToData="1"/>
    <pivotHierarchy dragToData="1"/>
    <pivotHierarchy dragToData="1"/>
    <pivotHierarchy dragToData="1"/>
    <pivotHierarchy multipleItemSelectionAllowed="1" dragToData="1">
      <members count="1" level="1">
        <member name="[Workforce_Data].[Department].&amp;[H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Productivity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rations_Workforce_MIS_Dataset_Enhanced.xlsx!Workforce_Data">
        <x15:activeTabTopLevelEntity name="[Workforc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211216-81B7-46B4-B194-45E4F7EE2539}" name="PivotTable6"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49:B60" firstHeaderRow="1" firstDataRow="1" firstDataCol="1"/>
  <pivotFields count="3">
    <pivotField axis="axisRow" allDrilled="1" subtotalTop="0" showAll="0" measureFilter="1" sortType="descending" defaultSubtotal="0" defaultAttributeDrillState="1">
      <items count="1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7"/>
    </i>
    <i>
      <x v="2"/>
    </i>
    <i>
      <x v="1"/>
    </i>
    <i>
      <x v="4"/>
    </i>
    <i>
      <x v="3"/>
    </i>
    <i>
      <x/>
    </i>
    <i>
      <x v="9"/>
    </i>
    <i>
      <x v="8"/>
    </i>
    <i>
      <x v="6"/>
    </i>
    <i>
      <x v="5"/>
    </i>
    <i t="grand">
      <x/>
    </i>
  </rowItems>
  <colItems count="1">
    <i/>
  </colItems>
  <dataFields count="1">
    <dataField name="Average of Productivity %" fld="1" subtotal="average" baseField="0" baseItem="1" numFmtId="164"/>
  </dataFields>
  <formats count="9">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fieldPosition="0">
        <references count="1">
          <reference field="0" count="50">
            <x v="0"/>
            <x v="1"/>
            <x v="2"/>
            <x v="10"/>
            <x v="11"/>
            <x v="19"/>
            <x v="29"/>
            <x v="33"/>
            <x v="34"/>
            <x v="35"/>
            <x v="36"/>
            <x v="37"/>
            <x v="38"/>
            <x v="39"/>
            <x v="40"/>
            <x v="41"/>
            <x v="42"/>
            <x v="43"/>
            <x v="44"/>
            <x v="45"/>
            <x v="46"/>
            <x v="47"/>
            <x v="48"/>
            <x v="49"/>
            <x v="50"/>
            <x v="51"/>
            <x v="52"/>
            <x v="53"/>
            <x v="54"/>
            <x v="55"/>
            <x v="56"/>
            <x v="57"/>
            <x v="58"/>
            <x v="59"/>
            <x v="60"/>
            <x v="61"/>
            <x v="62"/>
            <x v="63"/>
            <x v="64"/>
            <x v="65"/>
            <x v="66"/>
            <x v="67"/>
            <x v="68"/>
            <x v="69"/>
            <x v="70"/>
            <x v="71"/>
            <x v="72"/>
            <x v="73"/>
            <x v="74"/>
            <x v="75"/>
          </reference>
        </references>
      </pivotArea>
    </format>
    <format dxfId="9">
      <pivotArea dataOnly="0" labelOnly="1" fieldPosition="0">
        <references count="1">
          <reference field="0" count="50">
            <x v="3"/>
            <x v="4"/>
            <x v="12"/>
            <x v="13"/>
            <x v="14"/>
            <x v="15"/>
            <x v="20"/>
            <x v="21"/>
            <x v="30"/>
            <x v="31"/>
            <x v="76"/>
            <x v="77"/>
            <x v="78"/>
            <x v="79"/>
            <x v="80"/>
            <x v="81"/>
            <x v="82"/>
            <x v="83"/>
            <x v="84"/>
            <x v="85"/>
            <x v="86"/>
            <x v="87"/>
            <x v="88"/>
            <x v="89"/>
            <x v="90"/>
            <x v="91"/>
            <x v="92"/>
            <x v="93"/>
            <x v="94"/>
            <x v="95"/>
            <x v="96"/>
            <x v="97"/>
            <x v="98"/>
            <x v="99"/>
            <x v="100"/>
            <x v="101"/>
            <x v="102"/>
            <x v="103"/>
            <x v="104"/>
            <x v="105"/>
            <x v="106"/>
            <x v="107"/>
            <x v="108"/>
            <x v="109"/>
            <x v="110"/>
            <x v="111"/>
            <x v="112"/>
            <x v="113"/>
            <x v="114"/>
            <x v="115"/>
          </reference>
        </references>
      </pivotArea>
    </format>
    <format dxfId="8">
      <pivotArea dataOnly="0" labelOnly="1" fieldPosition="0">
        <references count="1">
          <reference field="0" count="50">
            <x v="5"/>
            <x v="6"/>
            <x v="7"/>
            <x v="16"/>
            <x v="17"/>
            <x v="22"/>
            <x v="23"/>
            <x v="24"/>
            <x v="25"/>
            <x v="26"/>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reference>
        </references>
      </pivotArea>
    </format>
    <format dxfId="7">
      <pivotArea dataOnly="0" labelOnly="1" fieldPosition="0">
        <references count="1">
          <reference field="0" count="40">
            <x v="8"/>
            <x v="9"/>
            <x v="18"/>
            <x v="27"/>
            <x v="28"/>
            <x v="32"/>
            <x v="156"/>
            <x v="157"/>
            <x v="158"/>
            <x v="159"/>
            <x v="160"/>
            <x v="161"/>
            <x v="162"/>
            <x v="163"/>
            <x v="164"/>
            <x v="165"/>
            <x v="166"/>
            <x v="167"/>
            <x v="168"/>
            <x v="169"/>
            <x v="170"/>
            <x v="171"/>
            <x v="172"/>
            <x v="173"/>
            <x v="174"/>
            <x v="175"/>
            <x v="176"/>
            <x v="177"/>
            <x v="178"/>
            <x v="179"/>
            <x v="180"/>
            <x v="181"/>
            <x v="182"/>
            <x v="183"/>
            <x v="184"/>
            <x v="185"/>
            <x v="186"/>
            <x v="187"/>
            <x v="188"/>
            <x v="189"/>
          </reference>
        </references>
      </pivotArea>
    </format>
    <format dxfId="6">
      <pivotArea dataOnly="0" labelOnly="1" grandRow="1" outline="0" fieldPosition="0"/>
    </format>
    <format dxfId="5">
      <pivotArea dataOnly="0" labelOnly="1" outline="0" axis="axisValues" fieldPosition="0"/>
    </format>
  </formats>
  <pivotHierarchies count="37">
    <pivotHierarchy dragToData="1"/>
    <pivotHierarchy dragToData="1"/>
    <pivotHierarchy dragToData="1"/>
    <pivotHierarchy dragToData="1"/>
    <pivotHierarchy multipleItemSelectionAllowed="1" dragToData="1">
      <members count="1" level="1">
        <member name="[Workforce_Data].[Department].&amp;[H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Productivity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25">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rations_Workforce_MIS_Dataset_Enhanced.xlsx!Workforce_Data">
        <x15:activeTabTopLevelEntity name="[Workforc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3D992B-3330-43B6-9F3B-93EFD6972D9E}" name="PivotTable7"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63:B65" firstHeaderRow="1" firstDataRow="1" firstDataCol="1"/>
  <pivotFields count="2">
    <pivotField axis="axisRow" allDrilled="1" subtotalTop="0" showAll="0" dataSourceSort="1" defaultSubtotal="0" defaultAttributeDrillState="1">
      <items count="1">
        <item s="1" x="0"/>
      </items>
    </pivotField>
    <pivotField dataField="1" subtotalTop="0" showAll="0" defaultSubtotal="0"/>
  </pivotFields>
  <rowFields count="1">
    <field x="0"/>
  </rowFields>
  <rowItems count="2">
    <i>
      <x/>
    </i>
    <i t="grand">
      <x/>
    </i>
  </rowItems>
  <colItems count="1">
    <i/>
  </colItems>
  <dataFields count="1">
    <dataField name="Average of Quality Score" fld="1" subtotal="average" baseField="0" baseItem="2" numFmtId="164"/>
  </dataFields>
  <formats count="1">
    <format dxfId="14">
      <pivotArea outline="0" collapsedLevelsAreSubtotals="1" fieldPosition="0"/>
    </format>
  </formats>
  <pivotHierarchies count="3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Quality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rations_Workforce_MIS_Dataset_Enhanced.xlsx!Workforce_Data">
        <x15:activeTabTopLevelEntity name="[Workforc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665CA4F-1A1B-4E23-B4D6-F864C17C4FE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0"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name="Count of Employee ID" fld="1" subtotal="count" baseField="0" baseItem="0"/>
  </dataFields>
  <chartFormats count="8">
    <chartFormat chart="0"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 chart="3" format="11">
      <pivotArea type="data" outline="0" fieldPosition="0">
        <references count="2">
          <reference field="4294967294" count="1" selected="0">
            <x v="0"/>
          </reference>
          <reference field="0" count="1" selected="0">
            <x v="2"/>
          </reference>
        </references>
      </pivotArea>
    </chartFormat>
    <chartFormat chart="3" format="12">
      <pivotArea type="data" outline="0" fieldPosition="0">
        <references count="2">
          <reference field="4294967294" count="1" selected="0">
            <x v="0"/>
          </reference>
          <reference field="0" count="1" selected="0">
            <x v="3"/>
          </reference>
        </references>
      </pivotArea>
    </chartFormat>
    <chartFormat chart="3" format="13">
      <pivotArea type="data" outline="0" fieldPosition="0">
        <references count="2">
          <reference field="4294967294" count="1" selected="0">
            <x v="0"/>
          </reference>
          <reference field="0" count="1" selected="0">
            <x v="4"/>
          </reference>
        </references>
      </pivotArea>
    </chartFormat>
    <chartFormat chart="3" format="14">
      <pivotArea type="data" outline="0" fieldPosition="0">
        <references count="2">
          <reference field="4294967294" count="1" selected="0">
            <x v="0"/>
          </reference>
          <reference field="0" count="1" selected="0">
            <x v="5"/>
          </reference>
        </references>
      </pivotArea>
    </chartFormat>
  </chartFormats>
  <pivotHierarchies count="3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Productivity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rations_Workforce_MIS_Dataset_Enhanced.xlsx!Workforce_Data">
        <x15:activeTabTopLevelEntity name="[Workforc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A18631-A8E7-4EDE-9C83-B1E930FD34C1}" name="PivotTable2"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3:B26"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Average of Attendance %" fld="1" subtotal="average" baseField="0" baseItem="3"/>
  </dataFields>
  <formats count="3">
    <format dxfId="17">
      <pivotArea collapsedLevelsAreSubtotals="1" fieldPosition="0">
        <references count="1">
          <reference field="0" count="1">
            <x v="0"/>
          </reference>
        </references>
      </pivotArea>
    </format>
    <format dxfId="16">
      <pivotArea collapsedLevelsAreSubtotals="1" fieldPosition="0">
        <references count="1">
          <reference field="0" count="1">
            <x v="1"/>
          </reference>
        </references>
      </pivotArea>
    </format>
    <format dxfId="15">
      <pivotArea collapsedLevelsAreSubtotals="1" fieldPosition="0">
        <references count="1">
          <reference field="0" count="10">
            <x v="2"/>
            <x v="3"/>
            <x v="4"/>
            <x v="5"/>
            <x v="6"/>
            <x v="7"/>
            <x v="8"/>
            <x v="9"/>
            <x v="10"/>
            <x v="11"/>
          </reference>
        </references>
      </pivotArea>
    </format>
  </formats>
  <pivotHierarchies count="37">
    <pivotHierarchy dragToData="1"/>
    <pivotHierarchy dragToData="1"/>
    <pivotHierarchy dragToData="1"/>
    <pivotHierarchy dragToData="1"/>
    <pivotHierarchy multipleItemSelectionAllowed="1" dragToData="1">
      <members count="1" level="1">
        <member name="[Workforce_Data].[Department].&amp;[H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ttendance %"/>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rations_Workforce_MIS_Dataset_Enhanced.xlsx!Workforce_Data">
        <x15:activeTabTopLevelEntity name="[Workforc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2BBD7BF-8503-4B55-912D-D51A8E670B7B}" name="PivotTable8"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73:B75" firstHeaderRow="1" firstDataRow="1" firstDataCol="1"/>
  <pivotFields count="2">
    <pivotField axis="axisRow" allDrilled="1" subtotalTop="0" showAll="0" dataSourceSort="1" defaultSubtotal="0" defaultAttributeDrillState="1">
      <items count="1">
        <item s="1" x="0"/>
      </items>
    </pivotField>
    <pivotField dataField="1" subtotalTop="0" showAll="0" defaultSubtotal="0"/>
  </pivotFields>
  <rowFields count="1">
    <field x="0"/>
  </rowFields>
  <rowItems count="2">
    <i>
      <x/>
    </i>
    <i t="grand">
      <x/>
    </i>
  </rowItems>
  <colItems count="1">
    <i/>
  </colItems>
  <dataFields count="1">
    <dataField name="Sum of Overtime Hours" fld="1" baseField="0" baseItem="0"/>
  </dataFields>
  <pivotHierarchies count="37">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rations_Workforce_MIS_Dataset_Enhanced.xlsx!Workforce_Data">
        <x15:activeTabTopLevelEntity name="[Workforc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76B79B5-CF8F-4E60-98AD-72DE86524F99}" name="PivotTable1"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3:D14" firstHeaderRow="0" firstDataRow="1" firstDataCol="1"/>
  <pivotFields count="5">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3">
    <i>
      <x/>
    </i>
    <i i="1">
      <x v="1"/>
    </i>
    <i i="2">
      <x v="2"/>
    </i>
  </colItems>
  <dataFields count="3">
    <dataField name="Average of Productivity %" fld="1" subtotal="average" baseField="0" baseItem="0"/>
    <dataField name="Average of Target Achievement %" fld="2" subtotal="average" baseField="0" baseItem="0"/>
    <dataField name="Average of Attendance %" fld="3" subtotal="average" baseField="0" baseItem="0"/>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s>
  <pivotHierarchies count="37">
    <pivotHierarchy dragToData="1"/>
    <pivotHierarchy dragToData="1"/>
    <pivotHierarchy dragToData="1"/>
    <pivotHierarchy dragToData="1"/>
    <pivotHierarchy multipleItemSelectionAllowed="1" dragToData="1">
      <members count="1" level="1">
        <member name="[Workforce_Data].[Department].&amp;[H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Productivity %"/>
    <pivotHierarchy dragToData="1"/>
    <pivotHierarchy dragToData="1"/>
    <pivotHierarchy dragToData="1" caption="Average of Attendance %"/>
    <pivotHierarchy dragToData="1"/>
    <pivotHierarchy dragToData="1"/>
    <pivotHierarchy dragToData="1"/>
    <pivotHierarchy dragToData="1"/>
    <pivotHierarchy dragToData="1"/>
    <pivotHierarchy dragToData="1"/>
    <pivotHierarchy dragToData="1" caption="Average of Target Achievement %"/>
    <pivotHierarchy dragToData="1"/>
  </pivotHierarchies>
  <pivotTableStyleInfo name="PivotStyleLight16" showRowHeaders="1" showColHeaders="1" showRowStripes="0" showColStripes="0" showLastColumn="1"/>
  <filters count="1">
    <filter fld="0" type="count" id="3" iMeasureHier="25">
      <autoFilter ref="A1">
        <filterColumn colId="0">
          <top10 val="10" filterVal="10"/>
        </filterColumn>
      </autoFilter>
    </filter>
  </filters>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rations_Workforce_MIS_Dataset_Enhanced.xlsx!Workforce_Data">
        <x15:activeTabTopLevelEntity name="[Workforce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492D90E2-C84F-4CAE-90F6-C665CC453C72}" sourceName="[Workforce_Data].[Department]">
  <pivotTables>
    <pivotTable tabId="4" name="PivotTable2"/>
    <pivotTable tabId="4" name="PivotTable4"/>
    <pivotTable tabId="4" name="PivotTable5"/>
    <pivotTable tabId="4" name="PivotTable6"/>
    <pivotTable tabId="4" name="PivotTable7"/>
    <pivotTable tabId="4" name="PivotTable8"/>
    <pivotTable tabId="6" name="PivotTable1"/>
  </pivotTables>
  <data>
    <olap pivotCacheId="118839101">
      <levels count="2">
        <level uniqueName="[Workforce_Data].[Department].[(All)]" sourceCaption="(All)" count="0"/>
        <level uniqueName="[Workforce_Data].[Department].[Department]" sourceCaption="Department" count="6">
          <ranges>
            <range startItem="0">
              <i n="[Workforce_Data].[Department].&amp;[Customer Support]" c="Customer Support"/>
              <i n="[Workforce_Data].[Department].&amp;[Finance]" c="Finance"/>
              <i n="[Workforce_Data].[Department].&amp;[HR]" c="HR"/>
              <i n="[Workforce_Data].[Department].&amp;[IT]" c="IT"/>
              <i n="[Workforce_Data].[Department].&amp;[Operations]" c="Operations"/>
              <i n="[Workforce_Data].[Department].&amp;[Quality]" c="Quality"/>
            </range>
          </ranges>
        </level>
      </levels>
      <selections count="1">
        <selection n="[Workforce_Data].[Department].&amp;[HR]"/>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269AB151-0304-47D4-A563-BE7DF61171A4}" cache="Slicer_Department" caption="Department" level="1" style="SlicerStyleDark1"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A1C17C-4F45-44B8-B314-D9C2E751D66C}" name="Workforce_Data" displayName="Workforce_Data" ref="A1:V501" totalsRowShown="0">
  <autoFilter ref="A1:V501" xr:uid="{F7A1C17C-4F45-44B8-B314-D9C2E751D66C}"/>
  <tableColumns count="22">
    <tableColumn id="1" xr3:uid="{818828D5-C8DD-4B62-BCAE-FCBA099FBDE9}" name="Employee ID"/>
    <tableColumn id="2" xr3:uid="{443A7EEC-873F-4259-BB25-F09E2A5DD7A6}" name="Employee Name"/>
    <tableColumn id="3" xr3:uid="{8254D832-FFF0-4EAB-9210-43BA6CCF6330}" name="Gender"/>
    <tableColumn id="4" xr3:uid="{48C7A85F-E892-4C17-8F51-B408B042FB81}" name="Employment Type"/>
    <tableColumn id="5" xr3:uid="{21BFBA59-FA2C-4334-848E-225B13B97A1E}" name="Department"/>
    <tableColumn id="6" xr3:uid="{3FB6A5B3-9F57-4249-B0CE-A8348276D480}" name="Team Lead"/>
    <tableColumn id="7" xr3:uid="{79E729D5-04EE-4FF3-A2AD-9107717351D1}" name="Location"/>
    <tableColumn id="8" xr3:uid="{EB3DF14E-DA08-4BBF-86B5-349A5D234B40}" name="Shift"/>
    <tableColumn id="9" xr3:uid="{349F92BF-72EC-4CF0-BD54-FE324B532D49}" name="Month"/>
    <tableColumn id="10" xr3:uid="{EFF00C52-FE6F-4D30-9CB3-24A269CF8886}" name="Attendance %"/>
    <tableColumn id="11" xr3:uid="{4A157DED-FB1A-4D03-93FF-7D7AE1B4B8D0}" name="Leaves Taken"/>
    <tableColumn id="12" xr3:uid="{61AD8E51-524B-4BCA-8993-D6A1E72FE577}" name="Overtime Hours"/>
    <tableColumn id="13" xr3:uid="{58F0495B-651A-4266-8942-A70C570A84F4}" name="Tasks Assigned"/>
    <tableColumn id="14" xr3:uid="{DBA9DFAC-75B2-4ECE-B8BF-1AF06FFB09D7}" name="Tasks Completed"/>
    <tableColumn id="15" xr3:uid="{71AAFB2C-75C9-4BD0-B7F1-C03890A6DAC9}" name="Productivity %" dataDxfId="0"/>
    <tableColumn id="16" xr3:uid="{7DAECBDB-D164-4CAF-BF0C-E0BB9B7FCB82}" name="Quality Score"/>
    <tableColumn id="17" xr3:uid="{B14B8F60-DE4E-4DB9-8771-B97B8B4AA446}" name="Target Achievement %"/>
    <tableColumn id="18" xr3:uid="{873F8CC1-1E91-400A-9356-B22AE5512E5A}" name="CSAT"/>
    <tableColumn id="19" xr3:uid="{8704B23B-53A2-4D2F-AAA1-772416DA7A95}" name="AHT (mins)"/>
    <tableColumn id="20" xr3:uid="{91D3CA15-CF8A-40BA-A435-271AC8B52883}" name="SLA Met"/>
    <tableColumn id="21" xr3:uid="{B04701BD-999A-424C-A827-52A090CD6E4F}" name="Escalations"/>
    <tableColumn id="22" xr3:uid="{FB2924F8-5CAC-48FF-B67B-60F39F75931C}" name="Training Hour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A59D8-990D-4E13-A7D4-CD993CA409C3}">
  <sheetPr codeName="Sheet2">
    <pageSetUpPr autoPageBreaks="0"/>
  </sheetPr>
  <dimension ref="A1:AH32"/>
  <sheetViews>
    <sheetView showGridLines="0" showRowColHeaders="0" tabSelected="1" zoomScale="88" zoomScaleNormal="100" workbookViewId="0">
      <selection activeCell="AA35" sqref="AA35"/>
    </sheetView>
  </sheetViews>
  <sheetFormatPr defaultRowHeight="14.4" x14ac:dyDescent="0.3"/>
  <cols>
    <col min="14" max="14" width="8.77734375" customWidth="1"/>
  </cols>
  <sheetData>
    <row r="1" spans="1:34" ht="14.4" customHeight="1" x14ac:dyDescent="0.3">
      <c r="A1" s="17" t="s">
        <v>757</v>
      </c>
      <c r="B1" s="17"/>
      <c r="C1" s="17"/>
      <c r="D1" s="17"/>
      <c r="E1" s="17"/>
      <c r="F1" s="17"/>
      <c r="G1" s="17"/>
      <c r="H1" s="17"/>
      <c r="I1" s="17"/>
      <c r="J1" s="17"/>
      <c r="K1" s="17"/>
      <c r="L1" s="17"/>
      <c r="M1" s="17"/>
      <c r="N1" s="17"/>
      <c r="O1" s="17"/>
      <c r="P1" s="17"/>
      <c r="Q1" s="17"/>
      <c r="R1" s="17"/>
      <c r="S1" s="17"/>
      <c r="T1" s="17"/>
      <c r="U1" s="17"/>
      <c r="V1" s="17"/>
      <c r="W1" s="17"/>
      <c r="X1" s="17"/>
      <c r="Y1" s="17"/>
      <c r="Z1" s="17"/>
      <c r="AA1" s="10"/>
      <c r="AB1" s="10"/>
      <c r="AC1" s="10"/>
      <c r="AD1" s="10"/>
      <c r="AE1" s="10"/>
      <c r="AF1" s="10"/>
      <c r="AG1" s="11"/>
      <c r="AH1" s="12"/>
    </row>
    <row r="2" spans="1:34" ht="14.4" customHeight="1" x14ac:dyDescent="0.3">
      <c r="A2" s="17"/>
      <c r="B2" s="17"/>
      <c r="C2" s="17"/>
      <c r="D2" s="17"/>
      <c r="E2" s="17"/>
      <c r="F2" s="17"/>
      <c r="G2" s="17"/>
      <c r="H2" s="17"/>
      <c r="I2" s="17"/>
      <c r="J2" s="17"/>
      <c r="K2" s="17"/>
      <c r="L2" s="17"/>
      <c r="M2" s="17"/>
      <c r="N2" s="17"/>
      <c r="O2" s="17"/>
      <c r="P2" s="17"/>
      <c r="Q2" s="17"/>
      <c r="R2" s="17"/>
      <c r="S2" s="17"/>
      <c r="T2" s="17"/>
      <c r="U2" s="17"/>
      <c r="V2" s="17"/>
      <c r="W2" s="17"/>
      <c r="X2" s="17"/>
      <c r="Y2" s="17"/>
      <c r="Z2" s="17"/>
      <c r="AA2" s="10"/>
      <c r="AB2" s="10"/>
      <c r="AC2" s="10"/>
      <c r="AD2" s="10"/>
      <c r="AE2" s="10"/>
      <c r="AF2" s="10"/>
      <c r="AG2" s="11"/>
      <c r="AH2" s="12"/>
    </row>
    <row r="3" spans="1:34" ht="14.4" customHeight="1" x14ac:dyDescent="0.3">
      <c r="A3" s="17"/>
      <c r="B3" s="17"/>
      <c r="C3" s="17"/>
      <c r="D3" s="17"/>
      <c r="E3" s="17"/>
      <c r="F3" s="17"/>
      <c r="G3" s="17"/>
      <c r="H3" s="17"/>
      <c r="I3" s="17"/>
      <c r="J3" s="17"/>
      <c r="K3" s="17"/>
      <c r="L3" s="17"/>
      <c r="M3" s="17"/>
      <c r="N3" s="17"/>
      <c r="O3" s="17"/>
      <c r="P3" s="17"/>
      <c r="Q3" s="17"/>
      <c r="R3" s="17"/>
      <c r="S3" s="17"/>
      <c r="T3" s="17"/>
      <c r="U3" s="17"/>
      <c r="V3" s="17"/>
      <c r="W3" s="17"/>
      <c r="X3" s="17"/>
      <c r="Y3" s="17"/>
      <c r="Z3" s="17"/>
      <c r="AA3" s="10"/>
      <c r="AB3" s="10"/>
      <c r="AC3" s="10"/>
      <c r="AD3" s="10"/>
      <c r="AE3" s="10"/>
      <c r="AF3" s="10"/>
      <c r="AG3" s="11"/>
      <c r="AH3" s="12"/>
    </row>
    <row r="4" spans="1:34" ht="15.6" x14ac:dyDescent="0.3">
      <c r="A4" s="18" t="s">
        <v>758</v>
      </c>
      <c r="B4" s="18"/>
      <c r="C4" s="18"/>
      <c r="D4" s="18"/>
      <c r="E4" s="18"/>
      <c r="F4" s="18"/>
      <c r="G4" s="18"/>
      <c r="H4" s="18"/>
      <c r="I4" s="18"/>
      <c r="J4" s="18"/>
      <c r="K4" s="18"/>
      <c r="L4" s="18"/>
      <c r="M4" s="18"/>
      <c r="N4" s="18"/>
      <c r="O4" s="18"/>
      <c r="P4" s="18"/>
      <c r="Q4" s="18"/>
      <c r="R4" s="18"/>
      <c r="S4" s="18"/>
      <c r="T4" s="18"/>
      <c r="U4" s="18"/>
      <c r="V4" s="18"/>
      <c r="W4" s="18"/>
      <c r="X4" s="18"/>
      <c r="Y4" s="18"/>
      <c r="Z4" s="18"/>
      <c r="AA4" s="10"/>
      <c r="AB4" s="10"/>
      <c r="AC4" s="10"/>
      <c r="AD4" s="10"/>
      <c r="AE4" s="10"/>
      <c r="AF4" s="10"/>
      <c r="AG4" s="11"/>
      <c r="AH4" s="12"/>
    </row>
    <row r="6" spans="1:34" ht="14.4" customHeight="1" x14ac:dyDescent="0.3">
      <c r="B6" s="13" t="s">
        <v>759</v>
      </c>
      <c r="C6" s="13"/>
      <c r="D6" s="13"/>
      <c r="E6" s="13"/>
      <c r="F6" s="8"/>
      <c r="G6" s="15" t="s">
        <v>760</v>
      </c>
      <c r="H6" s="15"/>
      <c r="I6" s="15"/>
      <c r="J6" s="15"/>
      <c r="K6" s="8"/>
      <c r="L6" s="13" t="s">
        <v>761</v>
      </c>
      <c r="M6" s="13"/>
      <c r="N6" s="13"/>
      <c r="O6" s="13"/>
      <c r="Q6" s="15" t="s">
        <v>762</v>
      </c>
      <c r="R6" s="15"/>
      <c r="S6" s="15"/>
      <c r="T6" s="15"/>
      <c r="V6" s="15" t="s">
        <v>763</v>
      </c>
      <c r="W6" s="15"/>
      <c r="X6" s="15"/>
      <c r="Y6" s="15"/>
    </row>
    <row r="7" spans="1:34" x14ac:dyDescent="0.3">
      <c r="B7" s="13"/>
      <c r="C7" s="13"/>
      <c r="D7" s="13"/>
      <c r="E7" s="13"/>
      <c r="F7" s="8"/>
      <c r="G7" s="15"/>
      <c r="H7" s="15"/>
      <c r="I7" s="15"/>
      <c r="J7" s="15"/>
      <c r="K7" s="8"/>
      <c r="L7" s="13"/>
      <c r="M7" s="13"/>
      <c r="N7" s="13"/>
      <c r="O7" s="13"/>
      <c r="Q7" s="15"/>
      <c r="R7" s="15"/>
      <c r="S7" s="15"/>
      <c r="T7" s="15"/>
      <c r="V7" s="15"/>
      <c r="W7" s="15"/>
      <c r="X7" s="15"/>
      <c r="Y7" s="15"/>
    </row>
    <row r="8" spans="1:34" ht="14.4" customHeight="1" x14ac:dyDescent="0.3">
      <c r="B8" s="14">
        <f>COUNTA(Raw_Data!A2:A501)</f>
        <v>500</v>
      </c>
      <c r="C8" s="14"/>
      <c r="D8" s="14"/>
      <c r="E8" s="14"/>
      <c r="F8" s="9"/>
      <c r="G8" s="16">
        <f>AVERAGE(Raw_Data!O2:O501)</f>
        <v>90.992599999999968</v>
      </c>
      <c r="H8" s="16"/>
      <c r="I8" s="16"/>
      <c r="J8" s="16"/>
      <c r="K8" s="9"/>
      <c r="L8" s="14">
        <f>AVERAGE(Raw_Data!Q2:Q501)</f>
        <v>91.169399999999968</v>
      </c>
      <c r="M8" s="14"/>
      <c r="N8" s="14"/>
      <c r="O8" s="14"/>
      <c r="Q8" s="16">
        <f>AVERAGE(Raw_Data!J2:J501)</f>
        <v>90.796000000000006</v>
      </c>
      <c r="R8" s="16"/>
      <c r="S8" s="16"/>
      <c r="T8" s="16"/>
      <c r="V8" s="16">
        <f>COUNTIF(Raw_Data!Q2:Q501, "&lt;100")</f>
        <v>438</v>
      </c>
      <c r="W8" s="16"/>
      <c r="X8" s="16"/>
      <c r="Y8" s="16"/>
    </row>
    <row r="9" spans="1:34" ht="14.4" customHeight="1" x14ac:dyDescent="0.3">
      <c r="B9" s="14"/>
      <c r="C9" s="14"/>
      <c r="D9" s="14"/>
      <c r="E9" s="14"/>
      <c r="F9" s="9"/>
      <c r="G9" s="16"/>
      <c r="H9" s="16"/>
      <c r="I9" s="16"/>
      <c r="J9" s="16"/>
      <c r="K9" s="9"/>
      <c r="L9" s="14"/>
      <c r="M9" s="14"/>
      <c r="N9" s="14"/>
      <c r="O9" s="14"/>
      <c r="Q9" s="16"/>
      <c r="R9" s="16"/>
      <c r="S9" s="16"/>
      <c r="T9" s="16"/>
      <c r="V9" s="16"/>
      <c r="W9" s="16"/>
      <c r="X9" s="16"/>
      <c r="Y9" s="16"/>
    </row>
    <row r="10" spans="1:34" x14ac:dyDescent="0.3">
      <c r="B10" s="14"/>
      <c r="C10" s="14"/>
      <c r="D10" s="14"/>
      <c r="E10" s="14"/>
      <c r="G10" s="16"/>
      <c r="H10" s="16"/>
      <c r="I10" s="16"/>
      <c r="J10" s="16"/>
      <c r="L10" s="14"/>
      <c r="M10" s="14"/>
      <c r="N10" s="14"/>
      <c r="O10" s="14"/>
      <c r="Q10" s="16"/>
      <c r="R10" s="16"/>
      <c r="S10" s="16"/>
      <c r="T10" s="16"/>
      <c r="V10" s="16"/>
      <c r="W10" s="16"/>
      <c r="X10" s="16"/>
      <c r="Y10" s="16"/>
    </row>
    <row r="11" spans="1:34" x14ac:dyDescent="0.3">
      <c r="B11" s="14"/>
      <c r="C11" s="14"/>
      <c r="D11" s="14"/>
      <c r="E11" s="14"/>
      <c r="G11" s="16"/>
      <c r="H11" s="16"/>
      <c r="I11" s="16"/>
      <c r="J11" s="16"/>
      <c r="L11" s="14"/>
      <c r="M11" s="14"/>
      <c r="N11" s="14"/>
      <c r="O11" s="14"/>
      <c r="Q11" s="16"/>
      <c r="R11" s="16"/>
      <c r="S11" s="16"/>
      <c r="T11" s="16"/>
      <c r="V11" s="16"/>
      <c r="W11" s="16"/>
      <c r="X11" s="16"/>
      <c r="Y11" s="16"/>
    </row>
    <row r="30" spans="1:27" x14ac:dyDescent="0.3">
      <c r="A30" s="19" t="s">
        <v>766</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row>
    <row r="31" spans="1:27" x14ac:dyDescent="0.3">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row>
    <row r="32" spans="1:27" x14ac:dyDescent="0.3">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row>
  </sheetData>
  <mergeCells count="13">
    <mergeCell ref="A30:AA32"/>
    <mergeCell ref="Q6:T7"/>
    <mergeCell ref="Q8:T11"/>
    <mergeCell ref="V6:Y7"/>
    <mergeCell ref="V8:Y11"/>
    <mergeCell ref="A1:Z3"/>
    <mergeCell ref="A4:Z4"/>
    <mergeCell ref="B6:E7"/>
    <mergeCell ref="B8:E11"/>
    <mergeCell ref="G6:J7"/>
    <mergeCell ref="G8:J11"/>
    <mergeCell ref="L6:O7"/>
    <mergeCell ref="L8:O11"/>
  </mergeCells>
  <pageMargins left="0.70866141732283472" right="0.70866141732283472" top="0.74803149606299213" bottom="0.74803149606299213" header="0.31496062992125984" footer="0.31496062992125984"/>
  <pageSetup orientation="portrait" r:id="rId1"/>
  <rowBreaks count="1" manualBreakCount="1">
    <brk id="7" max="16383" man="1"/>
  </rowBreaks>
  <colBreaks count="1" manualBreakCount="1">
    <brk id="13" max="1048575" man="1"/>
  </colBreaks>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C5AAD-1DC2-45E2-9A06-9C11540A5267}">
  <sheetPr codeName="Sheet4"/>
  <dimension ref="A3:B75"/>
  <sheetViews>
    <sheetView workbookViewId="0">
      <selection activeCell="H27" sqref="H27"/>
    </sheetView>
  </sheetViews>
  <sheetFormatPr defaultRowHeight="14.4" x14ac:dyDescent="0.3"/>
  <cols>
    <col min="1" max="1" width="15.77734375" bestFit="1" customWidth="1"/>
    <col min="2" max="2" width="23" bestFit="1" customWidth="1"/>
    <col min="3" max="3" width="19.33203125" bestFit="1" customWidth="1"/>
  </cols>
  <sheetData>
    <row r="3" spans="1:2" x14ac:dyDescent="0.3">
      <c r="A3" s="1" t="s">
        <v>751</v>
      </c>
      <c r="B3" t="s">
        <v>765</v>
      </c>
    </row>
    <row r="4" spans="1:2" x14ac:dyDescent="0.3">
      <c r="A4" s="2" t="s">
        <v>71</v>
      </c>
      <c r="B4">
        <v>80</v>
      </c>
    </row>
    <row r="5" spans="1:2" x14ac:dyDescent="0.3">
      <c r="A5" s="2" t="s">
        <v>26</v>
      </c>
      <c r="B5">
        <v>84</v>
      </c>
    </row>
    <row r="6" spans="1:2" x14ac:dyDescent="0.3">
      <c r="A6" s="2" t="s">
        <v>34</v>
      </c>
      <c r="B6">
        <v>85</v>
      </c>
    </row>
    <row r="7" spans="1:2" x14ac:dyDescent="0.3">
      <c r="A7" s="2" t="s">
        <v>67</v>
      </c>
      <c r="B7">
        <v>100</v>
      </c>
    </row>
    <row r="8" spans="1:2" x14ac:dyDescent="0.3">
      <c r="A8" s="2" t="s">
        <v>41</v>
      </c>
      <c r="B8">
        <v>72</v>
      </c>
    </row>
    <row r="9" spans="1:2" x14ac:dyDescent="0.3">
      <c r="A9" s="2" t="s">
        <v>50</v>
      </c>
      <c r="B9">
        <v>79</v>
      </c>
    </row>
    <row r="10" spans="1:2" x14ac:dyDescent="0.3">
      <c r="A10" s="2" t="s">
        <v>752</v>
      </c>
      <c r="B10">
        <v>500</v>
      </c>
    </row>
    <row r="11" spans="1:2" x14ac:dyDescent="0.3">
      <c r="A11" s="2"/>
    </row>
    <row r="12" spans="1:2" x14ac:dyDescent="0.3">
      <c r="A12" s="2"/>
    </row>
    <row r="13" spans="1:2" x14ac:dyDescent="0.3">
      <c r="A13" s="1" t="s">
        <v>751</v>
      </c>
      <c r="B13" t="s">
        <v>754</v>
      </c>
    </row>
    <row r="14" spans="1:2" x14ac:dyDescent="0.3">
      <c r="A14" s="2" t="s">
        <v>82</v>
      </c>
      <c r="B14" s="4">
        <v>86.666666666666671</v>
      </c>
    </row>
    <row r="15" spans="1:2" x14ac:dyDescent="0.3">
      <c r="A15" s="2" t="s">
        <v>30</v>
      </c>
      <c r="B15" s="4">
        <v>91.875</v>
      </c>
    </row>
    <row r="16" spans="1:2" x14ac:dyDescent="0.3">
      <c r="A16" s="2" t="s">
        <v>68</v>
      </c>
      <c r="B16" s="4">
        <v>90.571428571428569</v>
      </c>
    </row>
    <row r="17" spans="1:2" x14ac:dyDescent="0.3">
      <c r="A17" s="2" t="s">
        <v>37</v>
      </c>
      <c r="B17" s="4">
        <v>95.6</v>
      </c>
    </row>
    <row r="18" spans="1:2" x14ac:dyDescent="0.3">
      <c r="A18" s="2" t="s">
        <v>64</v>
      </c>
      <c r="B18" s="4">
        <v>88.36363636363636</v>
      </c>
    </row>
    <row r="19" spans="1:2" x14ac:dyDescent="0.3">
      <c r="A19" s="2" t="s">
        <v>45</v>
      </c>
      <c r="B19" s="4">
        <v>85</v>
      </c>
    </row>
    <row r="20" spans="1:2" x14ac:dyDescent="0.3">
      <c r="A20" s="2" t="s">
        <v>79</v>
      </c>
      <c r="B20" s="4">
        <v>90.222222222222229</v>
      </c>
    </row>
    <row r="21" spans="1:2" x14ac:dyDescent="0.3">
      <c r="A21" s="2" t="s">
        <v>51</v>
      </c>
      <c r="B21" s="4">
        <v>90.666666666666671</v>
      </c>
    </row>
    <row r="22" spans="1:2" x14ac:dyDescent="0.3">
      <c r="A22" s="2" t="s">
        <v>92</v>
      </c>
      <c r="B22" s="4">
        <v>92.428571428571431</v>
      </c>
    </row>
    <row r="23" spans="1:2" x14ac:dyDescent="0.3">
      <c r="A23" s="2" t="s">
        <v>57</v>
      </c>
      <c r="B23" s="4">
        <v>96</v>
      </c>
    </row>
    <row r="24" spans="1:2" x14ac:dyDescent="0.3">
      <c r="A24" s="2" t="s">
        <v>60</v>
      </c>
      <c r="B24" s="4">
        <v>90.2</v>
      </c>
    </row>
    <row r="25" spans="1:2" x14ac:dyDescent="0.3">
      <c r="A25" s="2" t="s">
        <v>73</v>
      </c>
      <c r="B25" s="4">
        <v>93</v>
      </c>
    </row>
    <row r="26" spans="1:2" x14ac:dyDescent="0.3">
      <c r="A26" s="2" t="s">
        <v>752</v>
      </c>
      <c r="B26">
        <v>90.576470588235296</v>
      </c>
    </row>
    <row r="29" spans="1:2" x14ac:dyDescent="0.3">
      <c r="A29" s="1" t="s">
        <v>751</v>
      </c>
      <c r="B29" t="s">
        <v>753</v>
      </c>
    </row>
    <row r="30" spans="1:2" x14ac:dyDescent="0.3">
      <c r="A30" s="2" t="s">
        <v>43</v>
      </c>
      <c r="B30" s="3">
        <v>89.391666666666666</v>
      </c>
    </row>
    <row r="31" spans="1:2" x14ac:dyDescent="0.3">
      <c r="A31" s="2" t="s">
        <v>63</v>
      </c>
      <c r="B31" s="3">
        <v>91.821052631578937</v>
      </c>
    </row>
    <row r="32" spans="1:2" x14ac:dyDescent="0.3">
      <c r="A32" s="2" t="s">
        <v>28</v>
      </c>
      <c r="B32" s="3">
        <v>91.706249999999997</v>
      </c>
    </row>
    <row r="33" spans="1:2" x14ac:dyDescent="0.3">
      <c r="A33" s="2" t="s">
        <v>76</v>
      </c>
      <c r="B33" s="3">
        <v>91.671428571428578</v>
      </c>
    </row>
    <row r="34" spans="1:2" x14ac:dyDescent="0.3">
      <c r="A34" s="2" t="s">
        <v>36</v>
      </c>
      <c r="B34" s="3">
        <v>90.805882352941182</v>
      </c>
    </row>
    <row r="35" spans="1:2" x14ac:dyDescent="0.3">
      <c r="A35" s="2" t="s">
        <v>55</v>
      </c>
      <c r="B35" s="3">
        <v>93.828571428571422</v>
      </c>
    </row>
    <row r="36" spans="1:2" x14ac:dyDescent="0.3">
      <c r="A36" s="2" t="s">
        <v>752</v>
      </c>
      <c r="B36" s="3">
        <v>91.39411764705882</v>
      </c>
    </row>
    <row r="39" spans="1:2" x14ac:dyDescent="0.3">
      <c r="A39" s="1" t="s">
        <v>751</v>
      </c>
      <c r="B39" t="s">
        <v>754</v>
      </c>
    </row>
    <row r="40" spans="1:2" x14ac:dyDescent="0.3">
      <c r="A40" s="2" t="s">
        <v>34</v>
      </c>
      <c r="B40" s="5">
        <v>90.576470588235296</v>
      </c>
    </row>
    <row r="41" spans="1:2" x14ac:dyDescent="0.3">
      <c r="A41" s="2" t="s">
        <v>752</v>
      </c>
      <c r="B41" s="5">
        <v>90.576470588235296</v>
      </c>
    </row>
    <row r="49" spans="1:2" x14ac:dyDescent="0.3">
      <c r="A49" s="6" t="s">
        <v>751</v>
      </c>
      <c r="B49" s="3" t="s">
        <v>753</v>
      </c>
    </row>
    <row r="50" spans="1:2" x14ac:dyDescent="0.3">
      <c r="A50" s="7" t="s">
        <v>271</v>
      </c>
      <c r="B50" s="3">
        <v>100</v>
      </c>
    </row>
    <row r="51" spans="1:2" x14ac:dyDescent="0.3">
      <c r="A51" s="7" t="s">
        <v>96</v>
      </c>
      <c r="B51" s="3">
        <v>100</v>
      </c>
    </row>
    <row r="52" spans="1:2" x14ac:dyDescent="0.3">
      <c r="A52" s="7" t="s">
        <v>234</v>
      </c>
      <c r="B52" s="3">
        <v>100</v>
      </c>
    </row>
    <row r="53" spans="1:2" x14ac:dyDescent="0.3">
      <c r="A53" s="7" t="s">
        <v>243</v>
      </c>
      <c r="B53" s="3">
        <v>100</v>
      </c>
    </row>
    <row r="54" spans="1:2" x14ac:dyDescent="0.3">
      <c r="A54" s="7" t="s">
        <v>252</v>
      </c>
      <c r="B54" s="3">
        <v>99</v>
      </c>
    </row>
    <row r="55" spans="1:2" x14ac:dyDescent="0.3">
      <c r="A55" s="7" t="s">
        <v>115</v>
      </c>
      <c r="B55" s="3">
        <v>98.65</v>
      </c>
    </row>
    <row r="56" spans="1:2" x14ac:dyDescent="0.3">
      <c r="A56" s="7" t="s">
        <v>130</v>
      </c>
      <c r="B56" s="3">
        <v>97.8</v>
      </c>
    </row>
    <row r="57" spans="1:2" x14ac:dyDescent="0.3">
      <c r="A57" s="7" t="s">
        <v>349</v>
      </c>
      <c r="B57" s="3">
        <v>97.5</v>
      </c>
    </row>
    <row r="58" spans="1:2" x14ac:dyDescent="0.3">
      <c r="A58" s="7" t="s">
        <v>154</v>
      </c>
      <c r="B58" s="3">
        <v>97.1</v>
      </c>
    </row>
    <row r="59" spans="1:2" x14ac:dyDescent="0.3">
      <c r="A59" s="7" t="s">
        <v>195</v>
      </c>
      <c r="B59" s="3">
        <v>96.65</v>
      </c>
    </row>
    <row r="60" spans="1:2" x14ac:dyDescent="0.3">
      <c r="A60" s="7" t="s">
        <v>752</v>
      </c>
      <c r="B60" s="3">
        <v>98.5</v>
      </c>
    </row>
    <row r="63" spans="1:2" x14ac:dyDescent="0.3">
      <c r="A63" s="1" t="s">
        <v>751</v>
      </c>
      <c r="B63" t="s">
        <v>755</v>
      </c>
    </row>
    <row r="64" spans="1:2" x14ac:dyDescent="0.3">
      <c r="A64" s="2" t="s">
        <v>34</v>
      </c>
      <c r="B64" s="3">
        <v>91.55764705882352</v>
      </c>
    </row>
    <row r="65" spans="1:2" x14ac:dyDescent="0.3">
      <c r="A65" s="2" t="s">
        <v>752</v>
      </c>
      <c r="B65" s="3">
        <v>91.55764705882352</v>
      </c>
    </row>
    <row r="73" spans="1:2" x14ac:dyDescent="0.3">
      <c r="A73" s="1" t="s">
        <v>751</v>
      </c>
      <c r="B73" t="s">
        <v>756</v>
      </c>
    </row>
    <row r="74" spans="1:2" x14ac:dyDescent="0.3">
      <c r="A74" s="2" t="s">
        <v>34</v>
      </c>
      <c r="B74">
        <v>1166</v>
      </c>
    </row>
    <row r="75" spans="1:2" x14ac:dyDescent="0.3">
      <c r="A75" s="2" t="s">
        <v>752</v>
      </c>
      <c r="B75">
        <v>1166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51385-BC70-4E07-BABF-2547DEB561E8}">
  <sheetPr codeName="Sheet3"/>
  <dimension ref="A3:D14"/>
  <sheetViews>
    <sheetView workbookViewId="0">
      <selection activeCell="C11" sqref="C11"/>
    </sheetView>
  </sheetViews>
  <sheetFormatPr defaultRowHeight="14.4" x14ac:dyDescent="0.3"/>
  <cols>
    <col min="1" max="1" width="12.5546875" bestFit="1" customWidth="1"/>
    <col min="2" max="2" width="23" bestFit="1" customWidth="1"/>
    <col min="3" max="3" width="29.88671875" bestFit="1" customWidth="1"/>
    <col min="4" max="4" width="22.5546875" bestFit="1" customWidth="1"/>
  </cols>
  <sheetData>
    <row r="3" spans="1:4" x14ac:dyDescent="0.3">
      <c r="A3" s="1" t="s">
        <v>751</v>
      </c>
      <c r="B3" t="s">
        <v>753</v>
      </c>
      <c r="C3" t="s">
        <v>764</v>
      </c>
      <c r="D3" t="s">
        <v>754</v>
      </c>
    </row>
    <row r="4" spans="1:4" x14ac:dyDescent="0.3">
      <c r="A4" s="2" t="s">
        <v>115</v>
      </c>
      <c r="B4">
        <v>98.65</v>
      </c>
      <c r="C4">
        <v>99.15</v>
      </c>
      <c r="D4">
        <v>88</v>
      </c>
    </row>
    <row r="5" spans="1:4" x14ac:dyDescent="0.3">
      <c r="A5" s="2" t="s">
        <v>234</v>
      </c>
      <c r="B5">
        <v>100</v>
      </c>
      <c r="C5">
        <v>92</v>
      </c>
      <c r="D5">
        <v>87</v>
      </c>
    </row>
    <row r="6" spans="1:4" x14ac:dyDescent="0.3">
      <c r="A6" s="2" t="s">
        <v>96</v>
      </c>
      <c r="B6">
        <v>100</v>
      </c>
      <c r="C6">
        <v>93</v>
      </c>
      <c r="D6">
        <v>90</v>
      </c>
    </row>
    <row r="7" spans="1:4" x14ac:dyDescent="0.3">
      <c r="A7" s="2" t="s">
        <v>252</v>
      </c>
      <c r="B7">
        <v>99</v>
      </c>
      <c r="C7">
        <v>93</v>
      </c>
      <c r="D7">
        <v>94</v>
      </c>
    </row>
    <row r="8" spans="1:4" x14ac:dyDescent="0.3">
      <c r="A8" s="2" t="s">
        <v>243</v>
      </c>
      <c r="B8">
        <v>100</v>
      </c>
      <c r="C8">
        <v>99</v>
      </c>
      <c r="D8">
        <v>82</v>
      </c>
    </row>
    <row r="9" spans="1:4" x14ac:dyDescent="0.3">
      <c r="A9" s="2" t="s">
        <v>195</v>
      </c>
      <c r="B9">
        <v>96.65</v>
      </c>
      <c r="C9">
        <v>100.65</v>
      </c>
      <c r="D9">
        <v>85.5</v>
      </c>
    </row>
    <row r="10" spans="1:4" x14ac:dyDescent="0.3">
      <c r="A10" s="2" t="s">
        <v>154</v>
      </c>
      <c r="B10">
        <v>97.1</v>
      </c>
      <c r="C10">
        <v>89.1</v>
      </c>
      <c r="D10">
        <v>82</v>
      </c>
    </row>
    <row r="11" spans="1:4" x14ac:dyDescent="0.3">
      <c r="A11" s="2" t="s">
        <v>271</v>
      </c>
      <c r="B11">
        <v>100</v>
      </c>
      <c r="C11">
        <v>94</v>
      </c>
      <c r="D11">
        <v>100</v>
      </c>
    </row>
    <row r="12" spans="1:4" x14ac:dyDescent="0.3">
      <c r="A12" s="2" t="s">
        <v>349</v>
      </c>
      <c r="B12">
        <v>97.5</v>
      </c>
      <c r="C12">
        <v>102.5</v>
      </c>
      <c r="D12">
        <v>86</v>
      </c>
    </row>
    <row r="13" spans="1:4" x14ac:dyDescent="0.3">
      <c r="A13" s="2" t="s">
        <v>130</v>
      </c>
      <c r="B13">
        <v>97.8</v>
      </c>
      <c r="C13">
        <v>97.8</v>
      </c>
      <c r="D13">
        <v>100</v>
      </c>
    </row>
    <row r="14" spans="1:4" x14ac:dyDescent="0.3">
      <c r="A14" s="2" t="s">
        <v>752</v>
      </c>
      <c r="B14">
        <v>98.5</v>
      </c>
      <c r="C14">
        <v>96.666666666666671</v>
      </c>
      <c r="D14">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505"/>
  <sheetViews>
    <sheetView topLeftCell="E280" workbookViewId="0">
      <selection activeCell="A2" sqref="A2"/>
    </sheetView>
  </sheetViews>
  <sheetFormatPr defaultRowHeight="14.4" x14ac:dyDescent="0.3"/>
  <cols>
    <col min="1" max="1" width="13.77734375" bestFit="1" customWidth="1"/>
    <col min="2" max="2" width="17.109375" bestFit="1" customWidth="1"/>
    <col min="3" max="3" width="9.33203125" bestFit="1" customWidth="1"/>
    <col min="4" max="4" width="18.6640625" bestFit="1" customWidth="1"/>
    <col min="5" max="5" width="15.77734375" bestFit="1" customWidth="1"/>
    <col min="6" max="6" width="12.33203125" bestFit="1" customWidth="1"/>
    <col min="7" max="7" width="10.44140625" bestFit="1" customWidth="1"/>
    <col min="8" max="8" width="7.77734375" bestFit="1" customWidth="1"/>
    <col min="9" max="9" width="9" bestFit="1" customWidth="1"/>
    <col min="10" max="10" width="14.88671875" bestFit="1" customWidth="1"/>
    <col min="11" max="11" width="14.44140625" bestFit="1" customWidth="1"/>
    <col min="12" max="12" width="16.44140625" bestFit="1" customWidth="1"/>
    <col min="13" max="13" width="15.77734375" bestFit="1" customWidth="1"/>
    <col min="14" max="14" width="17.5546875" bestFit="1" customWidth="1"/>
    <col min="15" max="15" width="15.44140625" bestFit="1" customWidth="1"/>
    <col min="16" max="16" width="14.33203125" bestFit="1" customWidth="1"/>
    <col min="17" max="17" width="22.21875" bestFit="1" customWidth="1"/>
    <col min="18" max="18" width="7.5546875" bestFit="1" customWidth="1"/>
    <col min="19" max="19" width="12.44140625" bestFit="1" customWidth="1"/>
    <col min="20" max="20" width="10.21875" bestFit="1" customWidth="1"/>
    <col min="21" max="21" width="12.44140625" bestFit="1" customWidth="1"/>
    <col min="22" max="22" width="15.44140625" bestFit="1" customWidth="1"/>
  </cols>
  <sheetData>
    <row r="1" spans="1:22"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3">
      <c r="A2" t="s">
        <v>22</v>
      </c>
      <c r="B2" t="s">
        <v>23</v>
      </c>
      <c r="C2" t="s">
        <v>24</v>
      </c>
      <c r="D2" t="s">
        <v>25</v>
      </c>
      <c r="E2" t="s">
        <v>26</v>
      </c>
      <c r="F2" t="s">
        <v>27</v>
      </c>
      <c r="G2" t="s">
        <v>28</v>
      </c>
      <c r="H2" t="s">
        <v>29</v>
      </c>
      <c r="I2" t="s">
        <v>30</v>
      </c>
      <c r="J2">
        <v>84</v>
      </c>
      <c r="K2">
        <v>4</v>
      </c>
      <c r="L2">
        <v>16</v>
      </c>
      <c r="M2">
        <v>141</v>
      </c>
      <c r="N2">
        <v>117</v>
      </c>
      <c r="O2">
        <v>83</v>
      </c>
      <c r="P2">
        <v>81</v>
      </c>
      <c r="Q2">
        <v>90</v>
      </c>
      <c r="R2">
        <v>3.5</v>
      </c>
      <c r="S2">
        <v>8.9</v>
      </c>
      <c r="T2" t="s">
        <v>31</v>
      </c>
      <c r="U2">
        <v>4</v>
      </c>
      <c r="V2">
        <v>10</v>
      </c>
    </row>
    <row r="3" spans="1:22" x14ac:dyDescent="0.3">
      <c r="A3" t="s">
        <v>32</v>
      </c>
      <c r="B3" t="s">
        <v>33</v>
      </c>
      <c r="C3" t="s">
        <v>24</v>
      </c>
      <c r="D3" t="s">
        <v>25</v>
      </c>
      <c r="E3" t="s">
        <v>34</v>
      </c>
      <c r="F3" t="s">
        <v>35</v>
      </c>
      <c r="G3" t="s">
        <v>36</v>
      </c>
      <c r="H3" t="s">
        <v>29</v>
      </c>
      <c r="I3" t="s">
        <v>37</v>
      </c>
      <c r="J3">
        <v>99</v>
      </c>
      <c r="K3">
        <v>0</v>
      </c>
      <c r="L3">
        <v>15</v>
      </c>
      <c r="M3">
        <v>161</v>
      </c>
      <c r="N3">
        <v>161</v>
      </c>
      <c r="O3">
        <v>100</v>
      </c>
      <c r="P3">
        <v>100</v>
      </c>
      <c r="Q3">
        <v>104</v>
      </c>
      <c r="R3">
        <v>5</v>
      </c>
      <c r="S3">
        <v>7.8</v>
      </c>
      <c r="T3" t="s">
        <v>31</v>
      </c>
      <c r="U3">
        <v>5</v>
      </c>
      <c r="V3">
        <v>12</v>
      </c>
    </row>
    <row r="4" spans="1:22" x14ac:dyDescent="0.3">
      <c r="A4" t="s">
        <v>38</v>
      </c>
      <c r="B4" t="s">
        <v>39</v>
      </c>
      <c r="C4" t="s">
        <v>40</v>
      </c>
      <c r="D4" t="s">
        <v>25</v>
      </c>
      <c r="E4" t="s">
        <v>41</v>
      </c>
      <c r="F4" t="s">
        <v>42</v>
      </c>
      <c r="G4" t="s">
        <v>43</v>
      </c>
      <c r="H4" t="s">
        <v>44</v>
      </c>
      <c r="I4" t="s">
        <v>45</v>
      </c>
      <c r="J4">
        <v>89</v>
      </c>
      <c r="K4">
        <v>2</v>
      </c>
      <c r="L4">
        <v>11</v>
      </c>
      <c r="M4">
        <v>160</v>
      </c>
      <c r="N4">
        <v>152</v>
      </c>
      <c r="O4">
        <v>95</v>
      </c>
      <c r="P4">
        <v>92</v>
      </c>
      <c r="Q4">
        <v>99</v>
      </c>
      <c r="R4">
        <v>4.5</v>
      </c>
      <c r="S4">
        <v>7.4</v>
      </c>
      <c r="T4" t="s">
        <v>46</v>
      </c>
      <c r="U4">
        <v>0</v>
      </c>
      <c r="V4">
        <v>9</v>
      </c>
    </row>
    <row r="5" spans="1:22" x14ac:dyDescent="0.3">
      <c r="A5" t="s">
        <v>47</v>
      </c>
      <c r="B5" t="s">
        <v>48</v>
      </c>
      <c r="C5" t="s">
        <v>40</v>
      </c>
      <c r="D5" t="s">
        <v>49</v>
      </c>
      <c r="E5" t="s">
        <v>50</v>
      </c>
      <c r="F5" t="s">
        <v>27</v>
      </c>
      <c r="G5" t="s">
        <v>36</v>
      </c>
      <c r="H5" t="s">
        <v>29</v>
      </c>
      <c r="I5" t="s">
        <v>51</v>
      </c>
      <c r="J5">
        <v>98</v>
      </c>
      <c r="K5">
        <v>0</v>
      </c>
      <c r="L5">
        <v>21</v>
      </c>
      <c r="M5">
        <v>175</v>
      </c>
      <c r="N5">
        <v>150</v>
      </c>
      <c r="O5">
        <v>85.7</v>
      </c>
      <c r="P5">
        <v>86.7</v>
      </c>
      <c r="Q5">
        <v>80.7</v>
      </c>
      <c r="R5">
        <v>4.0999999999999996</v>
      </c>
      <c r="S5">
        <v>8.1999999999999993</v>
      </c>
      <c r="T5" t="s">
        <v>31</v>
      </c>
      <c r="U5">
        <v>7</v>
      </c>
      <c r="V5">
        <v>2</v>
      </c>
    </row>
    <row r="6" spans="1:22" x14ac:dyDescent="0.3">
      <c r="A6" t="s">
        <v>52</v>
      </c>
      <c r="B6" t="s">
        <v>53</v>
      </c>
      <c r="C6" t="s">
        <v>40</v>
      </c>
      <c r="D6" t="s">
        <v>25</v>
      </c>
      <c r="E6" t="s">
        <v>26</v>
      </c>
      <c r="F6" t="s">
        <v>54</v>
      </c>
      <c r="G6" t="s">
        <v>55</v>
      </c>
      <c r="H6" t="s">
        <v>56</v>
      </c>
      <c r="I6" t="s">
        <v>57</v>
      </c>
      <c r="J6">
        <v>82</v>
      </c>
      <c r="K6">
        <v>4</v>
      </c>
      <c r="L6">
        <v>6</v>
      </c>
      <c r="M6">
        <v>173</v>
      </c>
      <c r="N6">
        <v>169</v>
      </c>
      <c r="O6">
        <v>97.7</v>
      </c>
      <c r="P6">
        <v>97.7</v>
      </c>
      <c r="Q6">
        <v>95.7</v>
      </c>
      <c r="R6">
        <v>5</v>
      </c>
      <c r="S6">
        <v>7.3</v>
      </c>
      <c r="T6" t="s">
        <v>46</v>
      </c>
      <c r="U6">
        <v>1</v>
      </c>
      <c r="V6">
        <v>4</v>
      </c>
    </row>
    <row r="7" spans="1:22" x14ac:dyDescent="0.3">
      <c r="A7" t="s">
        <v>58</v>
      </c>
      <c r="B7" t="s">
        <v>59</v>
      </c>
      <c r="C7" t="s">
        <v>24</v>
      </c>
      <c r="D7" t="s">
        <v>49</v>
      </c>
      <c r="E7" t="s">
        <v>50</v>
      </c>
      <c r="F7" t="s">
        <v>54</v>
      </c>
      <c r="G7" t="s">
        <v>28</v>
      </c>
      <c r="H7" t="s">
        <v>29</v>
      </c>
      <c r="I7" t="s">
        <v>60</v>
      </c>
      <c r="J7">
        <v>90</v>
      </c>
      <c r="K7">
        <v>2</v>
      </c>
      <c r="L7">
        <v>5</v>
      </c>
      <c r="M7">
        <v>176</v>
      </c>
      <c r="N7">
        <v>150</v>
      </c>
      <c r="O7">
        <v>85.2</v>
      </c>
      <c r="P7">
        <v>83.2</v>
      </c>
      <c r="Q7">
        <v>90.2</v>
      </c>
      <c r="R7">
        <v>3.8</v>
      </c>
      <c r="S7">
        <v>8.3000000000000007</v>
      </c>
      <c r="T7" t="s">
        <v>31</v>
      </c>
      <c r="U7">
        <v>7</v>
      </c>
      <c r="V7">
        <v>7</v>
      </c>
    </row>
    <row r="8" spans="1:22" x14ac:dyDescent="0.3">
      <c r="A8" t="s">
        <v>61</v>
      </c>
      <c r="B8" t="s">
        <v>62</v>
      </c>
      <c r="C8" t="s">
        <v>24</v>
      </c>
      <c r="D8" t="s">
        <v>25</v>
      </c>
      <c r="E8" t="s">
        <v>41</v>
      </c>
      <c r="F8" t="s">
        <v>54</v>
      </c>
      <c r="G8" t="s">
        <v>63</v>
      </c>
      <c r="H8" t="s">
        <v>56</v>
      </c>
      <c r="I8" t="s">
        <v>64</v>
      </c>
      <c r="J8">
        <v>86</v>
      </c>
      <c r="K8">
        <v>3</v>
      </c>
      <c r="L8">
        <v>16</v>
      </c>
      <c r="M8">
        <v>162</v>
      </c>
      <c r="N8">
        <v>138</v>
      </c>
      <c r="O8">
        <v>85.2</v>
      </c>
      <c r="P8">
        <v>87.2</v>
      </c>
      <c r="Q8">
        <v>89.2</v>
      </c>
      <c r="R8">
        <v>4.0999999999999996</v>
      </c>
      <c r="S8">
        <v>8.8000000000000007</v>
      </c>
      <c r="T8" t="s">
        <v>31</v>
      </c>
      <c r="U8">
        <v>5</v>
      </c>
      <c r="V8">
        <v>1</v>
      </c>
    </row>
    <row r="9" spans="1:22" x14ac:dyDescent="0.3">
      <c r="A9" t="s">
        <v>65</v>
      </c>
      <c r="B9" t="s">
        <v>66</v>
      </c>
      <c r="C9" t="s">
        <v>24</v>
      </c>
      <c r="D9" t="s">
        <v>49</v>
      </c>
      <c r="E9" t="s">
        <v>67</v>
      </c>
      <c r="F9" t="s">
        <v>42</v>
      </c>
      <c r="G9" t="s">
        <v>36</v>
      </c>
      <c r="H9" t="s">
        <v>56</v>
      </c>
      <c r="I9" t="s">
        <v>68</v>
      </c>
      <c r="J9">
        <v>82</v>
      </c>
      <c r="K9">
        <v>4</v>
      </c>
      <c r="L9">
        <v>3</v>
      </c>
      <c r="M9">
        <v>110</v>
      </c>
      <c r="N9">
        <v>97</v>
      </c>
      <c r="O9">
        <v>88.2</v>
      </c>
      <c r="P9">
        <v>86.2</v>
      </c>
      <c r="Q9">
        <v>88.2</v>
      </c>
      <c r="R9">
        <v>4.2</v>
      </c>
      <c r="S9">
        <v>8.6999999999999993</v>
      </c>
      <c r="T9" t="s">
        <v>31</v>
      </c>
      <c r="U9">
        <v>5</v>
      </c>
      <c r="V9">
        <v>2</v>
      </c>
    </row>
    <row r="10" spans="1:22" x14ac:dyDescent="0.3">
      <c r="A10" t="s">
        <v>69</v>
      </c>
      <c r="B10" t="s">
        <v>70</v>
      </c>
      <c r="C10" t="s">
        <v>40</v>
      </c>
      <c r="D10" t="s">
        <v>49</v>
      </c>
      <c r="E10" t="s">
        <v>71</v>
      </c>
      <c r="F10" t="s">
        <v>72</v>
      </c>
      <c r="G10" t="s">
        <v>36</v>
      </c>
      <c r="H10" t="s">
        <v>56</v>
      </c>
      <c r="I10" t="s">
        <v>73</v>
      </c>
      <c r="J10">
        <v>96</v>
      </c>
      <c r="K10">
        <v>1</v>
      </c>
      <c r="L10">
        <v>14</v>
      </c>
      <c r="M10">
        <v>100</v>
      </c>
      <c r="N10">
        <v>95</v>
      </c>
      <c r="O10">
        <v>95</v>
      </c>
      <c r="P10">
        <v>95</v>
      </c>
      <c r="Q10">
        <v>100</v>
      </c>
      <c r="R10">
        <v>4.5999999999999996</v>
      </c>
      <c r="S10">
        <v>7.5</v>
      </c>
      <c r="T10" t="s">
        <v>46</v>
      </c>
      <c r="U10">
        <v>0</v>
      </c>
      <c r="V10">
        <v>2</v>
      </c>
    </row>
    <row r="11" spans="1:22" x14ac:dyDescent="0.3">
      <c r="A11" t="s">
        <v>74</v>
      </c>
      <c r="B11" t="s">
        <v>75</v>
      </c>
      <c r="C11" t="s">
        <v>24</v>
      </c>
      <c r="D11" t="s">
        <v>25</v>
      </c>
      <c r="E11" t="s">
        <v>50</v>
      </c>
      <c r="F11" t="s">
        <v>35</v>
      </c>
      <c r="G11" t="s">
        <v>76</v>
      </c>
      <c r="H11" t="s">
        <v>56</v>
      </c>
      <c r="I11" t="s">
        <v>68</v>
      </c>
      <c r="J11">
        <v>95</v>
      </c>
      <c r="K11">
        <v>1</v>
      </c>
      <c r="L11">
        <v>16</v>
      </c>
      <c r="M11">
        <v>165</v>
      </c>
      <c r="N11">
        <v>151</v>
      </c>
      <c r="O11">
        <v>91.5</v>
      </c>
      <c r="P11">
        <v>95.5</v>
      </c>
      <c r="Q11">
        <v>90.5</v>
      </c>
      <c r="R11">
        <v>4.9000000000000004</v>
      </c>
      <c r="S11">
        <v>8.5</v>
      </c>
      <c r="T11" t="s">
        <v>46</v>
      </c>
      <c r="U11">
        <v>2</v>
      </c>
      <c r="V11">
        <v>8</v>
      </c>
    </row>
    <row r="12" spans="1:22" x14ac:dyDescent="0.3">
      <c r="A12" t="s">
        <v>77</v>
      </c>
      <c r="B12" t="s">
        <v>78</v>
      </c>
      <c r="C12" t="s">
        <v>40</v>
      </c>
      <c r="D12" t="s">
        <v>49</v>
      </c>
      <c r="E12" t="s">
        <v>26</v>
      </c>
      <c r="F12" t="s">
        <v>42</v>
      </c>
      <c r="G12" t="s">
        <v>36</v>
      </c>
      <c r="H12" t="s">
        <v>56</v>
      </c>
      <c r="I12" t="s">
        <v>79</v>
      </c>
      <c r="J12">
        <v>90</v>
      </c>
      <c r="K12">
        <v>2</v>
      </c>
      <c r="L12">
        <v>3</v>
      </c>
      <c r="M12">
        <v>161</v>
      </c>
      <c r="N12">
        <v>145</v>
      </c>
      <c r="O12">
        <v>90.1</v>
      </c>
      <c r="P12">
        <v>94.1</v>
      </c>
      <c r="Q12">
        <v>98.1</v>
      </c>
      <c r="R12">
        <v>4.5</v>
      </c>
      <c r="S12">
        <v>8.3000000000000007</v>
      </c>
      <c r="T12" t="s">
        <v>46</v>
      </c>
      <c r="U12">
        <v>1</v>
      </c>
      <c r="V12">
        <v>6</v>
      </c>
    </row>
    <row r="13" spans="1:22" x14ac:dyDescent="0.3">
      <c r="A13" t="s">
        <v>80</v>
      </c>
      <c r="B13" t="s">
        <v>81</v>
      </c>
      <c r="C13" t="s">
        <v>24</v>
      </c>
      <c r="D13" t="s">
        <v>49</v>
      </c>
      <c r="E13" t="s">
        <v>41</v>
      </c>
      <c r="F13" t="s">
        <v>72</v>
      </c>
      <c r="G13" t="s">
        <v>36</v>
      </c>
      <c r="H13" t="s">
        <v>56</v>
      </c>
      <c r="I13" t="s">
        <v>82</v>
      </c>
      <c r="J13">
        <v>82</v>
      </c>
      <c r="K13">
        <v>4</v>
      </c>
      <c r="L13">
        <v>25</v>
      </c>
      <c r="M13">
        <v>150</v>
      </c>
      <c r="N13">
        <v>142</v>
      </c>
      <c r="O13">
        <v>94.7</v>
      </c>
      <c r="P13">
        <v>97.7</v>
      </c>
      <c r="Q13">
        <v>93.7</v>
      </c>
      <c r="R13">
        <v>4.8</v>
      </c>
      <c r="S13">
        <v>7.4</v>
      </c>
      <c r="T13" t="s">
        <v>46</v>
      </c>
      <c r="U13">
        <v>1</v>
      </c>
      <c r="V13">
        <v>10</v>
      </c>
    </row>
    <row r="14" spans="1:22" x14ac:dyDescent="0.3">
      <c r="A14" t="s">
        <v>83</v>
      </c>
      <c r="B14" t="s">
        <v>84</v>
      </c>
      <c r="C14" t="s">
        <v>40</v>
      </c>
      <c r="D14" t="s">
        <v>25</v>
      </c>
      <c r="E14" t="s">
        <v>71</v>
      </c>
      <c r="F14" t="s">
        <v>27</v>
      </c>
      <c r="G14" t="s">
        <v>55</v>
      </c>
      <c r="H14" t="s">
        <v>44</v>
      </c>
      <c r="I14" t="s">
        <v>51</v>
      </c>
      <c r="J14">
        <v>89</v>
      </c>
      <c r="K14">
        <v>2</v>
      </c>
      <c r="L14">
        <v>23</v>
      </c>
      <c r="M14">
        <v>90</v>
      </c>
      <c r="N14">
        <v>73</v>
      </c>
      <c r="O14">
        <v>81.099999999999994</v>
      </c>
      <c r="P14">
        <v>84.1</v>
      </c>
      <c r="Q14">
        <v>81.099999999999994</v>
      </c>
      <c r="R14">
        <v>3.9</v>
      </c>
      <c r="S14">
        <v>8.5</v>
      </c>
      <c r="T14" t="s">
        <v>31</v>
      </c>
      <c r="U14">
        <v>6</v>
      </c>
      <c r="V14">
        <v>3</v>
      </c>
    </row>
    <row r="15" spans="1:22" x14ac:dyDescent="0.3">
      <c r="A15" t="s">
        <v>85</v>
      </c>
      <c r="B15" t="s">
        <v>86</v>
      </c>
      <c r="C15" t="s">
        <v>24</v>
      </c>
      <c r="D15" t="s">
        <v>25</v>
      </c>
      <c r="E15" t="s">
        <v>67</v>
      </c>
      <c r="F15" t="s">
        <v>42</v>
      </c>
      <c r="G15" t="s">
        <v>76</v>
      </c>
      <c r="H15" t="s">
        <v>44</v>
      </c>
      <c r="I15" t="s">
        <v>57</v>
      </c>
      <c r="J15">
        <v>98</v>
      </c>
      <c r="K15">
        <v>0</v>
      </c>
      <c r="L15">
        <v>25</v>
      </c>
      <c r="M15">
        <v>103</v>
      </c>
      <c r="N15">
        <v>98</v>
      </c>
      <c r="O15">
        <v>95.1</v>
      </c>
      <c r="P15">
        <v>92.1</v>
      </c>
      <c r="Q15">
        <v>88.1</v>
      </c>
      <c r="R15">
        <v>4.5</v>
      </c>
      <c r="S15">
        <v>8.1</v>
      </c>
      <c r="T15" t="s">
        <v>46</v>
      </c>
      <c r="U15">
        <v>0</v>
      </c>
      <c r="V15">
        <v>7</v>
      </c>
    </row>
    <row r="16" spans="1:22" x14ac:dyDescent="0.3">
      <c r="A16" t="s">
        <v>87</v>
      </c>
      <c r="B16" t="s">
        <v>88</v>
      </c>
      <c r="C16" t="s">
        <v>24</v>
      </c>
      <c r="D16" t="s">
        <v>25</v>
      </c>
      <c r="E16" t="s">
        <v>50</v>
      </c>
      <c r="F16" t="s">
        <v>27</v>
      </c>
      <c r="G16" t="s">
        <v>28</v>
      </c>
      <c r="H16" t="s">
        <v>44</v>
      </c>
      <c r="I16" t="s">
        <v>64</v>
      </c>
      <c r="J16">
        <v>93</v>
      </c>
      <c r="K16">
        <v>1</v>
      </c>
      <c r="L16">
        <v>6</v>
      </c>
      <c r="M16">
        <v>111</v>
      </c>
      <c r="N16">
        <v>106</v>
      </c>
      <c r="O16">
        <v>95.5</v>
      </c>
      <c r="P16">
        <v>95.5</v>
      </c>
      <c r="Q16">
        <v>92.5</v>
      </c>
      <c r="R16">
        <v>4.8</v>
      </c>
      <c r="S16">
        <v>7.5</v>
      </c>
      <c r="T16" t="s">
        <v>46</v>
      </c>
      <c r="U16">
        <v>2</v>
      </c>
      <c r="V16">
        <v>6</v>
      </c>
    </row>
    <row r="17" spans="1:22" x14ac:dyDescent="0.3">
      <c r="A17" t="s">
        <v>89</v>
      </c>
      <c r="B17" t="s">
        <v>90</v>
      </c>
      <c r="C17" t="s">
        <v>24</v>
      </c>
      <c r="D17" t="s">
        <v>49</v>
      </c>
      <c r="E17" t="s">
        <v>67</v>
      </c>
      <c r="F17" t="s">
        <v>91</v>
      </c>
      <c r="G17" t="s">
        <v>76</v>
      </c>
      <c r="H17" t="s">
        <v>29</v>
      </c>
      <c r="I17" t="s">
        <v>92</v>
      </c>
      <c r="J17">
        <v>88</v>
      </c>
      <c r="K17">
        <v>3</v>
      </c>
      <c r="L17">
        <v>21</v>
      </c>
      <c r="M17">
        <v>129</v>
      </c>
      <c r="N17">
        <v>124</v>
      </c>
      <c r="O17">
        <v>96.1</v>
      </c>
      <c r="P17">
        <v>94.1</v>
      </c>
      <c r="Q17">
        <v>90.1</v>
      </c>
      <c r="R17">
        <v>4.8</v>
      </c>
      <c r="S17">
        <v>7.9</v>
      </c>
      <c r="T17" t="s">
        <v>46</v>
      </c>
      <c r="U17">
        <v>1</v>
      </c>
      <c r="V17">
        <v>6</v>
      </c>
    </row>
    <row r="18" spans="1:22" x14ac:dyDescent="0.3">
      <c r="A18" t="s">
        <v>93</v>
      </c>
      <c r="B18" t="s">
        <v>94</v>
      </c>
      <c r="C18" t="s">
        <v>24</v>
      </c>
      <c r="D18" t="s">
        <v>49</v>
      </c>
      <c r="E18" t="s">
        <v>71</v>
      </c>
      <c r="F18" t="s">
        <v>54</v>
      </c>
      <c r="G18" t="s">
        <v>36</v>
      </c>
      <c r="H18" t="s">
        <v>56</v>
      </c>
      <c r="I18" t="s">
        <v>73</v>
      </c>
      <c r="J18">
        <v>98</v>
      </c>
      <c r="K18">
        <v>0</v>
      </c>
      <c r="L18">
        <v>3</v>
      </c>
      <c r="M18">
        <v>102</v>
      </c>
      <c r="N18">
        <v>93</v>
      </c>
      <c r="O18">
        <v>91.2</v>
      </c>
      <c r="P18">
        <v>93.2</v>
      </c>
      <c r="Q18">
        <v>95.2</v>
      </c>
      <c r="R18">
        <v>4.5999999999999996</v>
      </c>
      <c r="S18">
        <v>8.1999999999999993</v>
      </c>
      <c r="T18" t="s">
        <v>46</v>
      </c>
      <c r="U18">
        <v>2</v>
      </c>
      <c r="V18">
        <v>2</v>
      </c>
    </row>
    <row r="19" spans="1:22" x14ac:dyDescent="0.3">
      <c r="A19" t="s">
        <v>95</v>
      </c>
      <c r="B19" t="s">
        <v>96</v>
      </c>
      <c r="C19" t="s">
        <v>40</v>
      </c>
      <c r="D19" t="s">
        <v>49</v>
      </c>
      <c r="E19" t="s">
        <v>34</v>
      </c>
      <c r="F19" t="s">
        <v>54</v>
      </c>
      <c r="G19" t="s">
        <v>63</v>
      </c>
      <c r="H19" t="s">
        <v>29</v>
      </c>
      <c r="I19" t="s">
        <v>51</v>
      </c>
      <c r="J19">
        <v>90</v>
      </c>
      <c r="K19">
        <v>2</v>
      </c>
      <c r="L19">
        <v>1</v>
      </c>
      <c r="M19">
        <v>114</v>
      </c>
      <c r="N19">
        <v>114</v>
      </c>
      <c r="O19">
        <v>100</v>
      </c>
      <c r="P19">
        <v>100</v>
      </c>
      <c r="Q19">
        <v>93</v>
      </c>
      <c r="R19">
        <v>5</v>
      </c>
      <c r="S19">
        <v>7.6</v>
      </c>
      <c r="T19" t="s">
        <v>46</v>
      </c>
      <c r="U19">
        <v>0</v>
      </c>
      <c r="V19">
        <v>1</v>
      </c>
    </row>
    <row r="20" spans="1:22" x14ac:dyDescent="0.3">
      <c r="A20" t="s">
        <v>97</v>
      </c>
      <c r="B20" t="s">
        <v>98</v>
      </c>
      <c r="C20" t="s">
        <v>40</v>
      </c>
      <c r="D20" t="s">
        <v>25</v>
      </c>
      <c r="E20" t="s">
        <v>71</v>
      </c>
      <c r="F20" t="s">
        <v>91</v>
      </c>
      <c r="G20" t="s">
        <v>55</v>
      </c>
      <c r="H20" t="s">
        <v>56</v>
      </c>
      <c r="I20" t="s">
        <v>57</v>
      </c>
      <c r="J20">
        <v>84</v>
      </c>
      <c r="K20">
        <v>4</v>
      </c>
      <c r="L20">
        <v>19</v>
      </c>
      <c r="M20">
        <v>105</v>
      </c>
      <c r="N20">
        <v>98</v>
      </c>
      <c r="O20">
        <v>93.3</v>
      </c>
      <c r="P20">
        <v>96.3</v>
      </c>
      <c r="Q20">
        <v>93.3</v>
      </c>
      <c r="R20">
        <v>4.8</v>
      </c>
      <c r="S20">
        <v>7.7</v>
      </c>
      <c r="T20" t="s">
        <v>31</v>
      </c>
      <c r="U20">
        <v>4</v>
      </c>
      <c r="V20">
        <v>9</v>
      </c>
    </row>
    <row r="21" spans="1:22" x14ac:dyDescent="0.3">
      <c r="A21" t="s">
        <v>99</v>
      </c>
      <c r="B21" t="s">
        <v>100</v>
      </c>
      <c r="C21" t="s">
        <v>24</v>
      </c>
      <c r="D21" t="s">
        <v>49</v>
      </c>
      <c r="E21" t="s">
        <v>41</v>
      </c>
      <c r="F21" t="s">
        <v>27</v>
      </c>
      <c r="G21" t="s">
        <v>28</v>
      </c>
      <c r="H21" t="s">
        <v>29</v>
      </c>
      <c r="I21" t="s">
        <v>92</v>
      </c>
      <c r="J21">
        <v>94</v>
      </c>
      <c r="K21">
        <v>1</v>
      </c>
      <c r="L21">
        <v>4</v>
      </c>
      <c r="M21">
        <v>102</v>
      </c>
      <c r="N21">
        <v>95</v>
      </c>
      <c r="O21">
        <v>93.1</v>
      </c>
      <c r="P21">
        <v>97.1</v>
      </c>
      <c r="Q21">
        <v>100.1</v>
      </c>
      <c r="R21">
        <v>4.9000000000000004</v>
      </c>
      <c r="S21">
        <v>7.5</v>
      </c>
      <c r="T21" t="s">
        <v>46</v>
      </c>
      <c r="U21">
        <v>1</v>
      </c>
      <c r="V21">
        <v>9</v>
      </c>
    </row>
    <row r="22" spans="1:22" x14ac:dyDescent="0.3">
      <c r="A22" t="s">
        <v>101</v>
      </c>
      <c r="B22" t="s">
        <v>102</v>
      </c>
      <c r="C22" t="s">
        <v>24</v>
      </c>
      <c r="D22" t="s">
        <v>25</v>
      </c>
      <c r="E22" t="s">
        <v>50</v>
      </c>
      <c r="F22" t="s">
        <v>35</v>
      </c>
      <c r="G22" t="s">
        <v>43</v>
      </c>
      <c r="H22" t="s">
        <v>44</v>
      </c>
      <c r="I22" t="s">
        <v>92</v>
      </c>
      <c r="J22">
        <v>83</v>
      </c>
      <c r="K22">
        <v>4</v>
      </c>
      <c r="L22">
        <v>17</v>
      </c>
      <c r="M22">
        <v>137</v>
      </c>
      <c r="N22">
        <v>112</v>
      </c>
      <c r="O22">
        <v>81.8</v>
      </c>
      <c r="P22">
        <v>78</v>
      </c>
      <c r="Q22">
        <v>82.8</v>
      </c>
      <c r="R22">
        <v>3.3</v>
      </c>
      <c r="S22">
        <v>9</v>
      </c>
      <c r="T22" t="s">
        <v>31</v>
      </c>
      <c r="U22">
        <v>3</v>
      </c>
      <c r="V22">
        <v>1</v>
      </c>
    </row>
    <row r="23" spans="1:22" x14ac:dyDescent="0.3">
      <c r="A23" t="s">
        <v>103</v>
      </c>
      <c r="B23" t="s">
        <v>104</v>
      </c>
      <c r="C23" t="s">
        <v>24</v>
      </c>
      <c r="D23" t="s">
        <v>49</v>
      </c>
      <c r="E23" t="s">
        <v>26</v>
      </c>
      <c r="F23" t="s">
        <v>35</v>
      </c>
      <c r="G23" t="s">
        <v>28</v>
      </c>
      <c r="H23" t="s">
        <v>44</v>
      </c>
      <c r="I23" t="s">
        <v>79</v>
      </c>
      <c r="J23">
        <v>91</v>
      </c>
      <c r="K23">
        <v>2</v>
      </c>
      <c r="L23">
        <v>8</v>
      </c>
      <c r="M23">
        <v>172</v>
      </c>
      <c r="N23">
        <v>168</v>
      </c>
      <c r="O23">
        <v>97.7</v>
      </c>
      <c r="P23">
        <v>98.7</v>
      </c>
      <c r="Q23">
        <v>103.7</v>
      </c>
      <c r="R23">
        <v>5</v>
      </c>
      <c r="S23">
        <v>7.4</v>
      </c>
      <c r="T23" t="s">
        <v>46</v>
      </c>
      <c r="U23">
        <v>1</v>
      </c>
      <c r="V23">
        <v>8</v>
      </c>
    </row>
    <row r="24" spans="1:22" x14ac:dyDescent="0.3">
      <c r="A24" t="s">
        <v>105</v>
      </c>
      <c r="B24" t="s">
        <v>106</v>
      </c>
      <c r="C24" t="s">
        <v>24</v>
      </c>
      <c r="D24" t="s">
        <v>25</v>
      </c>
      <c r="E24" t="s">
        <v>50</v>
      </c>
      <c r="F24" t="s">
        <v>72</v>
      </c>
      <c r="G24" t="s">
        <v>76</v>
      </c>
      <c r="H24" t="s">
        <v>56</v>
      </c>
      <c r="I24" t="s">
        <v>73</v>
      </c>
      <c r="J24">
        <v>92</v>
      </c>
      <c r="K24">
        <v>2</v>
      </c>
      <c r="L24">
        <v>17</v>
      </c>
      <c r="M24">
        <v>90</v>
      </c>
      <c r="N24">
        <v>86</v>
      </c>
      <c r="O24">
        <v>95.6</v>
      </c>
      <c r="P24">
        <v>96.6</v>
      </c>
      <c r="Q24">
        <v>94.6</v>
      </c>
      <c r="R24">
        <v>4.9000000000000004</v>
      </c>
      <c r="S24">
        <v>7.7</v>
      </c>
      <c r="T24" t="s">
        <v>46</v>
      </c>
      <c r="U24">
        <v>0</v>
      </c>
      <c r="V24">
        <v>7</v>
      </c>
    </row>
    <row r="25" spans="1:22" x14ac:dyDescent="0.3">
      <c r="A25" t="s">
        <v>107</v>
      </c>
      <c r="B25" t="s">
        <v>108</v>
      </c>
      <c r="C25" t="s">
        <v>40</v>
      </c>
      <c r="D25" t="s">
        <v>25</v>
      </c>
      <c r="E25" t="s">
        <v>67</v>
      </c>
      <c r="F25" t="s">
        <v>42</v>
      </c>
      <c r="G25" t="s">
        <v>36</v>
      </c>
      <c r="H25" t="s">
        <v>44</v>
      </c>
      <c r="I25" t="s">
        <v>68</v>
      </c>
      <c r="J25">
        <v>94</v>
      </c>
      <c r="K25">
        <v>1</v>
      </c>
      <c r="L25">
        <v>13</v>
      </c>
      <c r="M25">
        <v>172</v>
      </c>
      <c r="N25">
        <v>153</v>
      </c>
      <c r="O25">
        <v>89</v>
      </c>
      <c r="P25">
        <v>90</v>
      </c>
      <c r="Q25">
        <v>97</v>
      </c>
      <c r="R25">
        <v>4.3</v>
      </c>
      <c r="S25">
        <v>8.6</v>
      </c>
      <c r="T25" t="s">
        <v>31</v>
      </c>
      <c r="U25">
        <v>5</v>
      </c>
      <c r="V25">
        <v>11</v>
      </c>
    </row>
    <row r="26" spans="1:22" x14ac:dyDescent="0.3">
      <c r="A26" t="s">
        <v>109</v>
      </c>
      <c r="B26" t="s">
        <v>39</v>
      </c>
      <c r="C26" t="s">
        <v>40</v>
      </c>
      <c r="D26" t="s">
        <v>25</v>
      </c>
      <c r="E26" t="s">
        <v>26</v>
      </c>
      <c r="F26" t="s">
        <v>54</v>
      </c>
      <c r="G26" t="s">
        <v>43</v>
      </c>
      <c r="H26" t="s">
        <v>29</v>
      </c>
      <c r="I26" t="s">
        <v>51</v>
      </c>
      <c r="J26">
        <v>90</v>
      </c>
      <c r="K26">
        <v>2</v>
      </c>
      <c r="L26">
        <v>23</v>
      </c>
      <c r="M26">
        <v>106</v>
      </c>
      <c r="N26">
        <v>106</v>
      </c>
      <c r="O26">
        <v>100</v>
      </c>
      <c r="P26">
        <v>98</v>
      </c>
      <c r="Q26">
        <v>95</v>
      </c>
      <c r="R26">
        <v>5</v>
      </c>
      <c r="S26">
        <v>7.1</v>
      </c>
      <c r="T26" t="s">
        <v>46</v>
      </c>
      <c r="U26">
        <v>1</v>
      </c>
      <c r="V26">
        <v>9</v>
      </c>
    </row>
    <row r="27" spans="1:22" x14ac:dyDescent="0.3">
      <c r="A27" t="s">
        <v>110</v>
      </c>
      <c r="B27" t="s">
        <v>111</v>
      </c>
      <c r="C27" t="s">
        <v>40</v>
      </c>
      <c r="D27" t="s">
        <v>49</v>
      </c>
      <c r="E27" t="s">
        <v>67</v>
      </c>
      <c r="F27" t="s">
        <v>91</v>
      </c>
      <c r="G27" t="s">
        <v>36</v>
      </c>
      <c r="H27" t="s">
        <v>29</v>
      </c>
      <c r="I27" t="s">
        <v>37</v>
      </c>
      <c r="J27">
        <v>91</v>
      </c>
      <c r="K27">
        <v>2</v>
      </c>
      <c r="L27">
        <v>19</v>
      </c>
      <c r="M27">
        <v>125</v>
      </c>
      <c r="N27">
        <v>111</v>
      </c>
      <c r="O27">
        <v>88.8</v>
      </c>
      <c r="P27">
        <v>92.8</v>
      </c>
      <c r="Q27">
        <v>96.8</v>
      </c>
      <c r="R27">
        <v>4.4000000000000004</v>
      </c>
      <c r="S27">
        <v>8.3000000000000007</v>
      </c>
      <c r="T27" t="s">
        <v>31</v>
      </c>
      <c r="U27">
        <v>6</v>
      </c>
      <c r="V27">
        <v>10</v>
      </c>
    </row>
    <row r="28" spans="1:22" x14ac:dyDescent="0.3">
      <c r="A28" t="s">
        <v>112</v>
      </c>
      <c r="B28" t="s">
        <v>113</v>
      </c>
      <c r="C28" t="s">
        <v>24</v>
      </c>
      <c r="D28" t="s">
        <v>25</v>
      </c>
      <c r="E28" t="s">
        <v>26</v>
      </c>
      <c r="F28" t="s">
        <v>72</v>
      </c>
      <c r="G28" t="s">
        <v>28</v>
      </c>
      <c r="H28" t="s">
        <v>44</v>
      </c>
      <c r="I28" t="s">
        <v>60</v>
      </c>
      <c r="J28">
        <v>91</v>
      </c>
      <c r="K28">
        <v>2</v>
      </c>
      <c r="L28">
        <v>17</v>
      </c>
      <c r="M28">
        <v>162</v>
      </c>
      <c r="N28">
        <v>146</v>
      </c>
      <c r="O28">
        <v>90.1</v>
      </c>
      <c r="P28">
        <v>90.1</v>
      </c>
      <c r="Q28">
        <v>84.1</v>
      </c>
      <c r="R28">
        <v>4.4000000000000004</v>
      </c>
      <c r="S28">
        <v>7.8</v>
      </c>
      <c r="T28" t="s">
        <v>46</v>
      </c>
      <c r="U28">
        <v>0</v>
      </c>
      <c r="V28">
        <v>8</v>
      </c>
    </row>
    <row r="29" spans="1:22" x14ac:dyDescent="0.3">
      <c r="A29" t="s">
        <v>114</v>
      </c>
      <c r="B29" t="s">
        <v>115</v>
      </c>
      <c r="C29" t="s">
        <v>24</v>
      </c>
      <c r="D29" t="s">
        <v>25</v>
      </c>
      <c r="E29" t="s">
        <v>41</v>
      </c>
      <c r="F29" t="s">
        <v>54</v>
      </c>
      <c r="G29" t="s">
        <v>36</v>
      </c>
      <c r="H29" t="s">
        <v>44</v>
      </c>
      <c r="I29" t="s">
        <v>57</v>
      </c>
      <c r="J29">
        <v>83</v>
      </c>
      <c r="K29">
        <v>4</v>
      </c>
      <c r="L29">
        <v>24</v>
      </c>
      <c r="M29">
        <v>154</v>
      </c>
      <c r="N29">
        <v>145</v>
      </c>
      <c r="O29">
        <v>94.2</v>
      </c>
      <c r="P29">
        <v>97.2</v>
      </c>
      <c r="Q29">
        <v>95.2</v>
      </c>
      <c r="R29">
        <v>5</v>
      </c>
      <c r="S29">
        <v>8.1</v>
      </c>
      <c r="T29" t="s">
        <v>46</v>
      </c>
      <c r="U29">
        <v>0</v>
      </c>
      <c r="V29">
        <v>12</v>
      </c>
    </row>
    <row r="30" spans="1:22" x14ac:dyDescent="0.3">
      <c r="A30" t="s">
        <v>116</v>
      </c>
      <c r="B30" t="s">
        <v>117</v>
      </c>
      <c r="C30" t="s">
        <v>40</v>
      </c>
      <c r="D30" t="s">
        <v>49</v>
      </c>
      <c r="E30" t="s">
        <v>71</v>
      </c>
      <c r="F30" t="s">
        <v>27</v>
      </c>
      <c r="G30" t="s">
        <v>63</v>
      </c>
      <c r="H30" t="s">
        <v>56</v>
      </c>
      <c r="I30" t="s">
        <v>60</v>
      </c>
      <c r="J30">
        <v>84</v>
      </c>
      <c r="K30">
        <v>4</v>
      </c>
      <c r="L30">
        <v>5</v>
      </c>
      <c r="M30">
        <v>118</v>
      </c>
      <c r="N30">
        <v>109</v>
      </c>
      <c r="O30">
        <v>92.4</v>
      </c>
      <c r="P30">
        <v>92.4</v>
      </c>
      <c r="Q30">
        <v>91.4</v>
      </c>
      <c r="R30">
        <v>4.7</v>
      </c>
      <c r="S30">
        <v>8</v>
      </c>
      <c r="T30" t="s">
        <v>46</v>
      </c>
      <c r="U30">
        <v>2</v>
      </c>
      <c r="V30">
        <v>7</v>
      </c>
    </row>
    <row r="31" spans="1:22" x14ac:dyDescent="0.3">
      <c r="A31" t="s">
        <v>118</v>
      </c>
      <c r="B31" t="s">
        <v>119</v>
      </c>
      <c r="C31" t="s">
        <v>40</v>
      </c>
      <c r="D31" t="s">
        <v>25</v>
      </c>
      <c r="E31" t="s">
        <v>34</v>
      </c>
      <c r="F31" t="s">
        <v>35</v>
      </c>
      <c r="G31" t="s">
        <v>63</v>
      </c>
      <c r="H31" t="s">
        <v>44</v>
      </c>
      <c r="I31" t="s">
        <v>68</v>
      </c>
      <c r="J31">
        <v>92</v>
      </c>
      <c r="K31">
        <v>2</v>
      </c>
      <c r="L31">
        <v>25</v>
      </c>
      <c r="M31">
        <v>118</v>
      </c>
      <c r="N31">
        <v>113</v>
      </c>
      <c r="O31">
        <v>95.8</v>
      </c>
      <c r="P31">
        <v>99.8</v>
      </c>
      <c r="Q31">
        <v>103.8</v>
      </c>
      <c r="R31">
        <v>5</v>
      </c>
      <c r="S31">
        <v>7.3</v>
      </c>
      <c r="T31" t="s">
        <v>46</v>
      </c>
      <c r="U31">
        <v>2</v>
      </c>
      <c r="V31">
        <v>9</v>
      </c>
    </row>
    <row r="32" spans="1:22" x14ac:dyDescent="0.3">
      <c r="A32" t="s">
        <v>120</v>
      </c>
      <c r="B32" t="s">
        <v>121</v>
      </c>
      <c r="C32" t="s">
        <v>24</v>
      </c>
      <c r="D32" t="s">
        <v>25</v>
      </c>
      <c r="E32" t="s">
        <v>26</v>
      </c>
      <c r="F32" t="s">
        <v>27</v>
      </c>
      <c r="G32" t="s">
        <v>76</v>
      </c>
      <c r="H32" t="s">
        <v>44</v>
      </c>
      <c r="I32" t="s">
        <v>60</v>
      </c>
      <c r="J32">
        <v>86</v>
      </c>
      <c r="K32">
        <v>3</v>
      </c>
      <c r="L32">
        <v>18</v>
      </c>
      <c r="M32">
        <v>151</v>
      </c>
      <c r="N32">
        <v>129</v>
      </c>
      <c r="O32">
        <v>85.4</v>
      </c>
      <c r="P32">
        <v>86.4</v>
      </c>
      <c r="Q32">
        <v>90.4</v>
      </c>
      <c r="R32">
        <v>4.0999999999999996</v>
      </c>
      <c r="S32">
        <v>9</v>
      </c>
      <c r="T32" t="s">
        <v>31</v>
      </c>
      <c r="U32">
        <v>4</v>
      </c>
      <c r="V32">
        <v>0</v>
      </c>
    </row>
    <row r="33" spans="1:22" x14ac:dyDescent="0.3">
      <c r="A33" t="s">
        <v>122</v>
      </c>
      <c r="B33" t="s">
        <v>123</v>
      </c>
      <c r="C33" t="s">
        <v>40</v>
      </c>
      <c r="D33" t="s">
        <v>25</v>
      </c>
      <c r="E33" t="s">
        <v>67</v>
      </c>
      <c r="F33" t="s">
        <v>27</v>
      </c>
      <c r="G33" t="s">
        <v>36</v>
      </c>
      <c r="H33" t="s">
        <v>56</v>
      </c>
      <c r="I33" t="s">
        <v>57</v>
      </c>
      <c r="J33">
        <v>89</v>
      </c>
      <c r="K33">
        <v>2</v>
      </c>
      <c r="L33">
        <v>25</v>
      </c>
      <c r="M33">
        <v>169</v>
      </c>
      <c r="N33">
        <v>138</v>
      </c>
      <c r="O33">
        <v>81.7</v>
      </c>
      <c r="P33">
        <v>85.7</v>
      </c>
      <c r="Q33">
        <v>82.7</v>
      </c>
      <c r="R33">
        <v>4.0999999999999996</v>
      </c>
      <c r="S33">
        <v>9.3000000000000007</v>
      </c>
      <c r="T33" t="s">
        <v>31</v>
      </c>
      <c r="U33">
        <v>3</v>
      </c>
      <c r="V33">
        <v>1</v>
      </c>
    </row>
    <row r="34" spans="1:22" x14ac:dyDescent="0.3">
      <c r="A34" t="s">
        <v>124</v>
      </c>
      <c r="B34" t="s">
        <v>90</v>
      </c>
      <c r="C34" t="s">
        <v>40</v>
      </c>
      <c r="D34" t="s">
        <v>25</v>
      </c>
      <c r="E34" t="s">
        <v>67</v>
      </c>
      <c r="F34" t="s">
        <v>72</v>
      </c>
      <c r="G34" t="s">
        <v>28</v>
      </c>
      <c r="H34" t="s">
        <v>56</v>
      </c>
      <c r="I34" t="s">
        <v>45</v>
      </c>
      <c r="J34">
        <v>99</v>
      </c>
      <c r="K34">
        <v>0</v>
      </c>
      <c r="L34">
        <v>25</v>
      </c>
      <c r="M34">
        <v>138</v>
      </c>
      <c r="N34">
        <v>126</v>
      </c>
      <c r="O34">
        <v>91.3</v>
      </c>
      <c r="P34">
        <v>89.3</v>
      </c>
      <c r="Q34">
        <v>96.3</v>
      </c>
      <c r="R34">
        <v>4.3</v>
      </c>
      <c r="S34">
        <v>7.9</v>
      </c>
      <c r="T34" t="s">
        <v>46</v>
      </c>
      <c r="U34">
        <v>1</v>
      </c>
      <c r="V34">
        <v>6</v>
      </c>
    </row>
    <row r="35" spans="1:22" x14ac:dyDescent="0.3">
      <c r="A35" t="s">
        <v>125</v>
      </c>
      <c r="B35" t="s">
        <v>126</v>
      </c>
      <c r="C35" t="s">
        <v>24</v>
      </c>
      <c r="D35" t="s">
        <v>25</v>
      </c>
      <c r="E35" t="s">
        <v>71</v>
      </c>
      <c r="F35" t="s">
        <v>42</v>
      </c>
      <c r="G35" t="s">
        <v>28</v>
      </c>
      <c r="H35" t="s">
        <v>29</v>
      </c>
      <c r="I35" t="s">
        <v>37</v>
      </c>
      <c r="J35">
        <v>96</v>
      </c>
      <c r="K35">
        <v>1</v>
      </c>
      <c r="L35">
        <v>19</v>
      </c>
      <c r="M35">
        <v>112</v>
      </c>
      <c r="N35">
        <v>107</v>
      </c>
      <c r="O35">
        <v>95.5</v>
      </c>
      <c r="P35">
        <v>91.5</v>
      </c>
      <c r="Q35">
        <v>98.5</v>
      </c>
      <c r="R35">
        <v>4.5</v>
      </c>
      <c r="S35">
        <v>7.4</v>
      </c>
      <c r="T35" t="s">
        <v>31</v>
      </c>
      <c r="U35">
        <v>3</v>
      </c>
      <c r="V35">
        <v>7</v>
      </c>
    </row>
    <row r="36" spans="1:22" x14ac:dyDescent="0.3">
      <c r="A36" t="s">
        <v>127</v>
      </c>
      <c r="B36" t="s">
        <v>128</v>
      </c>
      <c r="C36" t="s">
        <v>24</v>
      </c>
      <c r="D36" t="s">
        <v>25</v>
      </c>
      <c r="E36" t="s">
        <v>26</v>
      </c>
      <c r="F36" t="s">
        <v>54</v>
      </c>
      <c r="G36" t="s">
        <v>76</v>
      </c>
      <c r="H36" t="s">
        <v>29</v>
      </c>
      <c r="I36" t="s">
        <v>37</v>
      </c>
      <c r="J36">
        <v>91</v>
      </c>
      <c r="K36">
        <v>2</v>
      </c>
      <c r="L36">
        <v>25</v>
      </c>
      <c r="M36">
        <v>103</v>
      </c>
      <c r="N36">
        <v>94</v>
      </c>
      <c r="O36">
        <v>91.3</v>
      </c>
      <c r="P36">
        <v>87.3</v>
      </c>
      <c r="Q36">
        <v>87.3</v>
      </c>
      <c r="R36">
        <v>4.0999999999999996</v>
      </c>
      <c r="S36">
        <v>8.1</v>
      </c>
      <c r="T36" t="s">
        <v>46</v>
      </c>
      <c r="U36">
        <v>2</v>
      </c>
      <c r="V36">
        <v>5</v>
      </c>
    </row>
    <row r="37" spans="1:22" x14ac:dyDescent="0.3">
      <c r="A37" t="s">
        <v>129</v>
      </c>
      <c r="B37" t="s">
        <v>130</v>
      </c>
      <c r="C37" t="s">
        <v>40</v>
      </c>
      <c r="D37" t="s">
        <v>49</v>
      </c>
      <c r="E37" t="s">
        <v>71</v>
      </c>
      <c r="F37" t="s">
        <v>27</v>
      </c>
      <c r="G37" t="s">
        <v>28</v>
      </c>
      <c r="H37" t="s">
        <v>29</v>
      </c>
      <c r="I37" t="s">
        <v>64</v>
      </c>
      <c r="J37">
        <v>87</v>
      </c>
      <c r="K37">
        <v>3</v>
      </c>
      <c r="L37">
        <v>21</v>
      </c>
      <c r="M37">
        <v>175</v>
      </c>
      <c r="N37">
        <v>168</v>
      </c>
      <c r="O37">
        <v>96</v>
      </c>
      <c r="P37">
        <v>97</v>
      </c>
      <c r="Q37">
        <v>100</v>
      </c>
      <c r="R37">
        <v>5</v>
      </c>
      <c r="S37">
        <v>8.1</v>
      </c>
      <c r="T37" t="s">
        <v>46</v>
      </c>
      <c r="U37">
        <v>1</v>
      </c>
      <c r="V37">
        <v>7</v>
      </c>
    </row>
    <row r="38" spans="1:22" x14ac:dyDescent="0.3">
      <c r="A38" t="s">
        <v>131</v>
      </c>
      <c r="B38" t="s">
        <v>132</v>
      </c>
      <c r="C38" t="s">
        <v>24</v>
      </c>
      <c r="D38" t="s">
        <v>25</v>
      </c>
      <c r="E38" t="s">
        <v>41</v>
      </c>
      <c r="F38" t="s">
        <v>35</v>
      </c>
      <c r="G38" t="s">
        <v>28</v>
      </c>
      <c r="H38" t="s">
        <v>29</v>
      </c>
      <c r="I38" t="s">
        <v>30</v>
      </c>
      <c r="J38">
        <v>89</v>
      </c>
      <c r="K38">
        <v>2</v>
      </c>
      <c r="L38">
        <v>10</v>
      </c>
      <c r="M38">
        <v>108</v>
      </c>
      <c r="N38">
        <v>90</v>
      </c>
      <c r="O38">
        <v>83.3</v>
      </c>
      <c r="P38">
        <v>87.3</v>
      </c>
      <c r="Q38">
        <v>89.3</v>
      </c>
      <c r="R38">
        <v>4.0999999999999996</v>
      </c>
      <c r="S38">
        <v>8.9</v>
      </c>
      <c r="T38" t="s">
        <v>31</v>
      </c>
      <c r="U38">
        <v>3</v>
      </c>
      <c r="V38">
        <v>4</v>
      </c>
    </row>
    <row r="39" spans="1:22" x14ac:dyDescent="0.3">
      <c r="A39" t="s">
        <v>133</v>
      </c>
      <c r="B39" t="s">
        <v>134</v>
      </c>
      <c r="C39" t="s">
        <v>24</v>
      </c>
      <c r="D39" t="s">
        <v>49</v>
      </c>
      <c r="E39" t="s">
        <v>34</v>
      </c>
      <c r="F39" t="s">
        <v>35</v>
      </c>
      <c r="G39" t="s">
        <v>76</v>
      </c>
      <c r="H39" t="s">
        <v>29</v>
      </c>
      <c r="I39" t="s">
        <v>92</v>
      </c>
      <c r="J39">
        <v>89</v>
      </c>
      <c r="K39">
        <v>2</v>
      </c>
      <c r="L39">
        <v>22</v>
      </c>
      <c r="M39">
        <v>150</v>
      </c>
      <c r="N39">
        <v>137</v>
      </c>
      <c r="O39">
        <v>91.3</v>
      </c>
      <c r="P39">
        <v>88.3</v>
      </c>
      <c r="Q39">
        <v>91.3</v>
      </c>
      <c r="R39">
        <v>4.0999999999999996</v>
      </c>
      <c r="S39">
        <v>8.4</v>
      </c>
      <c r="T39" t="s">
        <v>46</v>
      </c>
      <c r="U39">
        <v>1</v>
      </c>
      <c r="V39">
        <v>5</v>
      </c>
    </row>
    <row r="40" spans="1:22" x14ac:dyDescent="0.3">
      <c r="A40" t="s">
        <v>135</v>
      </c>
      <c r="B40" t="s">
        <v>136</v>
      </c>
      <c r="C40" t="s">
        <v>40</v>
      </c>
      <c r="D40" t="s">
        <v>49</v>
      </c>
      <c r="E40" t="s">
        <v>71</v>
      </c>
      <c r="F40" t="s">
        <v>54</v>
      </c>
      <c r="G40" t="s">
        <v>63</v>
      </c>
      <c r="H40" t="s">
        <v>29</v>
      </c>
      <c r="I40" t="s">
        <v>51</v>
      </c>
      <c r="J40">
        <v>98</v>
      </c>
      <c r="K40">
        <v>0</v>
      </c>
      <c r="L40">
        <v>24</v>
      </c>
      <c r="M40">
        <v>164</v>
      </c>
      <c r="N40">
        <v>140</v>
      </c>
      <c r="O40">
        <v>85.4</v>
      </c>
      <c r="P40">
        <v>82.4</v>
      </c>
      <c r="Q40">
        <v>92.4</v>
      </c>
      <c r="R40">
        <v>3.7</v>
      </c>
      <c r="S40">
        <v>8.9</v>
      </c>
      <c r="T40" t="s">
        <v>31</v>
      </c>
      <c r="U40">
        <v>7</v>
      </c>
      <c r="V40">
        <v>11</v>
      </c>
    </row>
    <row r="41" spans="1:22" x14ac:dyDescent="0.3">
      <c r="A41" t="s">
        <v>137</v>
      </c>
      <c r="B41" t="s">
        <v>138</v>
      </c>
      <c r="C41" t="s">
        <v>24</v>
      </c>
      <c r="D41" t="s">
        <v>49</v>
      </c>
      <c r="E41" t="s">
        <v>34</v>
      </c>
      <c r="F41" t="s">
        <v>35</v>
      </c>
      <c r="G41" t="s">
        <v>63</v>
      </c>
      <c r="H41" t="s">
        <v>44</v>
      </c>
      <c r="I41" t="s">
        <v>73</v>
      </c>
      <c r="J41">
        <v>85</v>
      </c>
      <c r="K41">
        <v>3</v>
      </c>
      <c r="L41">
        <v>18</v>
      </c>
      <c r="M41">
        <v>126</v>
      </c>
      <c r="N41">
        <v>119</v>
      </c>
      <c r="O41">
        <v>94.4</v>
      </c>
      <c r="P41">
        <v>90.4</v>
      </c>
      <c r="Q41">
        <v>95.4</v>
      </c>
      <c r="R41">
        <v>4.4000000000000004</v>
      </c>
      <c r="S41">
        <v>7.9</v>
      </c>
      <c r="T41" t="s">
        <v>46</v>
      </c>
      <c r="U41">
        <v>1</v>
      </c>
      <c r="V41">
        <v>8</v>
      </c>
    </row>
    <row r="42" spans="1:22" x14ac:dyDescent="0.3">
      <c r="A42" t="s">
        <v>139</v>
      </c>
      <c r="B42" t="s">
        <v>140</v>
      </c>
      <c r="C42" t="s">
        <v>40</v>
      </c>
      <c r="D42" t="s">
        <v>49</v>
      </c>
      <c r="E42" t="s">
        <v>34</v>
      </c>
      <c r="F42" t="s">
        <v>54</v>
      </c>
      <c r="G42" t="s">
        <v>28</v>
      </c>
      <c r="H42" t="s">
        <v>44</v>
      </c>
      <c r="I42" t="s">
        <v>82</v>
      </c>
      <c r="J42">
        <v>83</v>
      </c>
      <c r="K42">
        <v>4</v>
      </c>
      <c r="L42">
        <v>20</v>
      </c>
      <c r="M42">
        <v>143</v>
      </c>
      <c r="N42">
        <v>137</v>
      </c>
      <c r="O42">
        <v>95.8</v>
      </c>
      <c r="P42">
        <v>96.8</v>
      </c>
      <c r="Q42">
        <v>100.8</v>
      </c>
      <c r="R42">
        <v>4.9000000000000004</v>
      </c>
      <c r="S42">
        <v>8.1</v>
      </c>
      <c r="T42" t="s">
        <v>31</v>
      </c>
      <c r="U42">
        <v>6</v>
      </c>
      <c r="V42">
        <v>2</v>
      </c>
    </row>
    <row r="43" spans="1:22" x14ac:dyDescent="0.3">
      <c r="A43" t="s">
        <v>141</v>
      </c>
      <c r="B43" t="s">
        <v>134</v>
      </c>
      <c r="C43" t="s">
        <v>40</v>
      </c>
      <c r="D43" t="s">
        <v>25</v>
      </c>
      <c r="E43" t="s">
        <v>41</v>
      </c>
      <c r="F43" t="s">
        <v>27</v>
      </c>
      <c r="G43" t="s">
        <v>43</v>
      </c>
      <c r="H43" t="s">
        <v>29</v>
      </c>
      <c r="I43" t="s">
        <v>30</v>
      </c>
      <c r="J43">
        <v>82</v>
      </c>
      <c r="K43">
        <v>4</v>
      </c>
      <c r="L43">
        <v>22</v>
      </c>
      <c r="M43">
        <v>145</v>
      </c>
      <c r="N43">
        <v>132</v>
      </c>
      <c r="O43">
        <v>91</v>
      </c>
      <c r="P43">
        <v>87</v>
      </c>
      <c r="Q43">
        <v>94</v>
      </c>
      <c r="R43">
        <v>4.0999999999999996</v>
      </c>
      <c r="S43">
        <v>8.1999999999999993</v>
      </c>
      <c r="T43" t="s">
        <v>31</v>
      </c>
      <c r="U43">
        <v>5</v>
      </c>
      <c r="V43">
        <v>3</v>
      </c>
    </row>
    <row r="44" spans="1:22" x14ac:dyDescent="0.3">
      <c r="A44" t="s">
        <v>142</v>
      </c>
      <c r="B44" t="s">
        <v>143</v>
      </c>
      <c r="C44" t="s">
        <v>40</v>
      </c>
      <c r="D44" t="s">
        <v>49</v>
      </c>
      <c r="E44" t="s">
        <v>50</v>
      </c>
      <c r="F44" t="s">
        <v>35</v>
      </c>
      <c r="G44" t="s">
        <v>76</v>
      </c>
      <c r="H44" t="s">
        <v>56</v>
      </c>
      <c r="I44" t="s">
        <v>57</v>
      </c>
      <c r="J44">
        <v>98</v>
      </c>
      <c r="K44">
        <v>0</v>
      </c>
      <c r="L44">
        <v>5</v>
      </c>
      <c r="M44">
        <v>149</v>
      </c>
      <c r="N44">
        <v>136</v>
      </c>
      <c r="O44">
        <v>91.3</v>
      </c>
      <c r="P44">
        <v>91.3</v>
      </c>
      <c r="Q44">
        <v>90.3</v>
      </c>
      <c r="R44">
        <v>4.3</v>
      </c>
      <c r="S44">
        <v>8.3000000000000007</v>
      </c>
      <c r="T44" t="s">
        <v>46</v>
      </c>
      <c r="U44">
        <v>0</v>
      </c>
      <c r="V44">
        <v>2</v>
      </c>
    </row>
    <row r="45" spans="1:22" x14ac:dyDescent="0.3">
      <c r="A45" t="s">
        <v>144</v>
      </c>
      <c r="B45" t="s">
        <v>145</v>
      </c>
      <c r="C45" t="s">
        <v>24</v>
      </c>
      <c r="D45" t="s">
        <v>49</v>
      </c>
      <c r="E45" t="s">
        <v>34</v>
      </c>
      <c r="F45" t="s">
        <v>35</v>
      </c>
      <c r="G45" t="s">
        <v>36</v>
      </c>
      <c r="H45" t="s">
        <v>44</v>
      </c>
      <c r="I45" t="s">
        <v>64</v>
      </c>
      <c r="J45">
        <v>96</v>
      </c>
      <c r="K45">
        <v>1</v>
      </c>
      <c r="L45">
        <v>23</v>
      </c>
      <c r="M45">
        <v>96</v>
      </c>
      <c r="N45">
        <v>78</v>
      </c>
      <c r="O45">
        <v>81.2</v>
      </c>
      <c r="P45">
        <v>82.2</v>
      </c>
      <c r="Q45">
        <v>75</v>
      </c>
      <c r="R45">
        <v>3.7</v>
      </c>
      <c r="S45">
        <v>8.9</v>
      </c>
      <c r="T45" t="s">
        <v>31</v>
      </c>
      <c r="U45">
        <v>4</v>
      </c>
      <c r="V45">
        <v>9</v>
      </c>
    </row>
    <row r="46" spans="1:22" x14ac:dyDescent="0.3">
      <c r="A46" t="s">
        <v>146</v>
      </c>
      <c r="B46" t="s">
        <v>147</v>
      </c>
      <c r="C46" t="s">
        <v>24</v>
      </c>
      <c r="D46" t="s">
        <v>49</v>
      </c>
      <c r="E46" t="s">
        <v>71</v>
      </c>
      <c r="F46" t="s">
        <v>42</v>
      </c>
      <c r="G46" t="s">
        <v>55</v>
      </c>
      <c r="H46" t="s">
        <v>56</v>
      </c>
      <c r="I46" t="s">
        <v>37</v>
      </c>
      <c r="J46">
        <v>98</v>
      </c>
      <c r="K46">
        <v>0</v>
      </c>
      <c r="L46">
        <v>25</v>
      </c>
      <c r="M46">
        <v>177</v>
      </c>
      <c r="N46">
        <v>177</v>
      </c>
      <c r="O46">
        <v>100</v>
      </c>
      <c r="P46">
        <v>98</v>
      </c>
      <c r="Q46">
        <v>100</v>
      </c>
      <c r="R46">
        <v>5</v>
      </c>
      <c r="S46">
        <v>6.9</v>
      </c>
      <c r="T46" t="s">
        <v>46</v>
      </c>
      <c r="U46">
        <v>1</v>
      </c>
      <c r="V46">
        <v>2</v>
      </c>
    </row>
    <row r="47" spans="1:22" x14ac:dyDescent="0.3">
      <c r="A47" t="s">
        <v>148</v>
      </c>
      <c r="B47" t="s">
        <v>39</v>
      </c>
      <c r="C47" t="s">
        <v>24</v>
      </c>
      <c r="D47" t="s">
        <v>25</v>
      </c>
      <c r="E47" t="s">
        <v>26</v>
      </c>
      <c r="F47" t="s">
        <v>72</v>
      </c>
      <c r="G47" t="s">
        <v>43</v>
      </c>
      <c r="H47" t="s">
        <v>44</v>
      </c>
      <c r="I47" t="s">
        <v>68</v>
      </c>
      <c r="J47">
        <v>100</v>
      </c>
      <c r="K47">
        <v>0</v>
      </c>
      <c r="L47">
        <v>5</v>
      </c>
      <c r="M47">
        <v>127</v>
      </c>
      <c r="N47">
        <v>106</v>
      </c>
      <c r="O47">
        <v>83.5</v>
      </c>
      <c r="P47">
        <v>85.5</v>
      </c>
      <c r="Q47">
        <v>77.5</v>
      </c>
      <c r="R47">
        <v>3.9</v>
      </c>
      <c r="S47">
        <v>8.5</v>
      </c>
      <c r="T47" t="s">
        <v>31</v>
      </c>
      <c r="U47">
        <v>7</v>
      </c>
      <c r="V47">
        <v>0</v>
      </c>
    </row>
    <row r="48" spans="1:22" x14ac:dyDescent="0.3">
      <c r="A48" t="s">
        <v>149</v>
      </c>
      <c r="B48" t="s">
        <v>150</v>
      </c>
      <c r="C48" t="s">
        <v>24</v>
      </c>
      <c r="D48" t="s">
        <v>25</v>
      </c>
      <c r="E48" t="s">
        <v>41</v>
      </c>
      <c r="F48" t="s">
        <v>91</v>
      </c>
      <c r="G48" t="s">
        <v>63</v>
      </c>
      <c r="H48" t="s">
        <v>44</v>
      </c>
      <c r="I48" t="s">
        <v>82</v>
      </c>
      <c r="J48">
        <v>90</v>
      </c>
      <c r="K48">
        <v>2</v>
      </c>
      <c r="L48">
        <v>19</v>
      </c>
      <c r="M48">
        <v>133</v>
      </c>
      <c r="N48">
        <v>127</v>
      </c>
      <c r="O48">
        <v>95.5</v>
      </c>
      <c r="P48">
        <v>92.5</v>
      </c>
      <c r="Q48">
        <v>89.5</v>
      </c>
      <c r="R48">
        <v>4.4000000000000004</v>
      </c>
      <c r="S48">
        <v>8.1</v>
      </c>
      <c r="T48" t="s">
        <v>46</v>
      </c>
      <c r="U48">
        <v>0</v>
      </c>
      <c r="V48">
        <v>7</v>
      </c>
    </row>
    <row r="49" spans="1:22" x14ac:dyDescent="0.3">
      <c r="A49" t="s">
        <v>151</v>
      </c>
      <c r="B49" t="s">
        <v>152</v>
      </c>
      <c r="C49" t="s">
        <v>24</v>
      </c>
      <c r="D49" t="s">
        <v>49</v>
      </c>
      <c r="E49" t="s">
        <v>34</v>
      </c>
      <c r="F49" t="s">
        <v>35</v>
      </c>
      <c r="G49" t="s">
        <v>76</v>
      </c>
      <c r="H49" t="s">
        <v>44</v>
      </c>
      <c r="I49" t="s">
        <v>92</v>
      </c>
      <c r="J49">
        <v>93</v>
      </c>
      <c r="K49">
        <v>1</v>
      </c>
      <c r="L49">
        <v>8</v>
      </c>
      <c r="M49">
        <v>180</v>
      </c>
      <c r="N49">
        <v>160</v>
      </c>
      <c r="O49">
        <v>88.9</v>
      </c>
      <c r="P49">
        <v>92.9</v>
      </c>
      <c r="Q49">
        <v>83.9</v>
      </c>
      <c r="R49">
        <v>4.5999999999999996</v>
      </c>
      <c r="S49">
        <v>8.1999999999999993</v>
      </c>
      <c r="T49" t="s">
        <v>31</v>
      </c>
      <c r="U49">
        <v>6</v>
      </c>
      <c r="V49">
        <v>4</v>
      </c>
    </row>
    <row r="50" spans="1:22" x14ac:dyDescent="0.3">
      <c r="A50" t="s">
        <v>153</v>
      </c>
      <c r="B50" t="s">
        <v>154</v>
      </c>
      <c r="C50" t="s">
        <v>24</v>
      </c>
      <c r="D50" t="s">
        <v>25</v>
      </c>
      <c r="E50" t="s">
        <v>34</v>
      </c>
      <c r="F50" t="s">
        <v>91</v>
      </c>
      <c r="G50" t="s">
        <v>63</v>
      </c>
      <c r="H50" t="s">
        <v>44</v>
      </c>
      <c r="I50" t="s">
        <v>37</v>
      </c>
      <c r="J50">
        <v>82</v>
      </c>
      <c r="K50">
        <v>4</v>
      </c>
      <c r="L50">
        <v>9</v>
      </c>
      <c r="M50">
        <v>136</v>
      </c>
      <c r="N50">
        <v>132</v>
      </c>
      <c r="O50">
        <v>97.1</v>
      </c>
      <c r="P50">
        <v>99.1</v>
      </c>
      <c r="Q50">
        <v>89.1</v>
      </c>
      <c r="R50">
        <v>5</v>
      </c>
      <c r="S50">
        <v>7.3</v>
      </c>
      <c r="T50" t="s">
        <v>46</v>
      </c>
      <c r="U50">
        <v>0</v>
      </c>
      <c r="V50">
        <v>3</v>
      </c>
    </row>
    <row r="51" spans="1:22" x14ac:dyDescent="0.3">
      <c r="A51" t="s">
        <v>155</v>
      </c>
      <c r="B51" t="s">
        <v>156</v>
      </c>
      <c r="C51" t="s">
        <v>24</v>
      </c>
      <c r="D51" t="s">
        <v>25</v>
      </c>
      <c r="E51" t="s">
        <v>34</v>
      </c>
      <c r="F51" t="s">
        <v>54</v>
      </c>
      <c r="G51" t="s">
        <v>28</v>
      </c>
      <c r="H51" t="s">
        <v>56</v>
      </c>
      <c r="I51" t="s">
        <v>64</v>
      </c>
      <c r="J51">
        <v>90</v>
      </c>
      <c r="K51">
        <v>2</v>
      </c>
      <c r="L51">
        <v>16</v>
      </c>
      <c r="M51">
        <v>117</v>
      </c>
      <c r="N51">
        <v>112</v>
      </c>
      <c r="O51">
        <v>95.7</v>
      </c>
      <c r="P51">
        <v>92.7</v>
      </c>
      <c r="Q51">
        <v>97.7</v>
      </c>
      <c r="R51">
        <v>4.5999999999999996</v>
      </c>
      <c r="S51">
        <v>7.2</v>
      </c>
      <c r="T51" t="s">
        <v>46</v>
      </c>
      <c r="U51">
        <v>0</v>
      </c>
      <c r="V51">
        <v>1</v>
      </c>
    </row>
    <row r="52" spans="1:22" x14ac:dyDescent="0.3">
      <c r="A52" t="s">
        <v>157</v>
      </c>
      <c r="B52" t="s">
        <v>158</v>
      </c>
      <c r="C52" t="s">
        <v>24</v>
      </c>
      <c r="D52" t="s">
        <v>49</v>
      </c>
      <c r="E52" t="s">
        <v>67</v>
      </c>
      <c r="F52" t="s">
        <v>27</v>
      </c>
      <c r="G52" t="s">
        <v>28</v>
      </c>
      <c r="H52" t="s">
        <v>29</v>
      </c>
      <c r="I52" t="s">
        <v>60</v>
      </c>
      <c r="J52">
        <v>89</v>
      </c>
      <c r="K52">
        <v>2</v>
      </c>
      <c r="L52">
        <v>4</v>
      </c>
      <c r="M52">
        <v>166</v>
      </c>
      <c r="N52">
        <v>144</v>
      </c>
      <c r="O52">
        <v>86.7</v>
      </c>
      <c r="P52">
        <v>83.7</v>
      </c>
      <c r="Q52">
        <v>89.7</v>
      </c>
      <c r="R52">
        <v>3.7</v>
      </c>
      <c r="S52">
        <v>8</v>
      </c>
      <c r="T52" t="s">
        <v>31</v>
      </c>
      <c r="U52">
        <v>4</v>
      </c>
      <c r="V52">
        <v>11</v>
      </c>
    </row>
    <row r="53" spans="1:22" x14ac:dyDescent="0.3">
      <c r="A53" t="s">
        <v>159</v>
      </c>
      <c r="B53" t="s">
        <v>160</v>
      </c>
      <c r="C53" t="s">
        <v>24</v>
      </c>
      <c r="D53" t="s">
        <v>49</v>
      </c>
      <c r="E53" t="s">
        <v>26</v>
      </c>
      <c r="F53" t="s">
        <v>35</v>
      </c>
      <c r="G53" t="s">
        <v>43</v>
      </c>
      <c r="H53" t="s">
        <v>29</v>
      </c>
      <c r="I53" t="s">
        <v>82</v>
      </c>
      <c r="J53">
        <v>94</v>
      </c>
      <c r="K53">
        <v>1</v>
      </c>
      <c r="L53">
        <v>13</v>
      </c>
      <c r="M53">
        <v>103</v>
      </c>
      <c r="N53">
        <v>98</v>
      </c>
      <c r="O53">
        <v>95.1</v>
      </c>
      <c r="P53">
        <v>91.1</v>
      </c>
      <c r="Q53">
        <v>87.1</v>
      </c>
      <c r="R53">
        <v>4.3</v>
      </c>
      <c r="S53">
        <v>8.1</v>
      </c>
      <c r="T53" t="s">
        <v>46</v>
      </c>
      <c r="U53">
        <v>2</v>
      </c>
      <c r="V53">
        <v>9</v>
      </c>
    </row>
    <row r="54" spans="1:22" x14ac:dyDescent="0.3">
      <c r="A54" t="s">
        <v>161</v>
      </c>
      <c r="B54" t="s">
        <v>162</v>
      </c>
      <c r="C54" t="s">
        <v>40</v>
      </c>
      <c r="D54" t="s">
        <v>25</v>
      </c>
      <c r="E54" t="s">
        <v>67</v>
      </c>
      <c r="F54" t="s">
        <v>27</v>
      </c>
      <c r="G54" t="s">
        <v>76</v>
      </c>
      <c r="H54" t="s">
        <v>29</v>
      </c>
      <c r="I54" t="s">
        <v>51</v>
      </c>
      <c r="J54">
        <v>100</v>
      </c>
      <c r="K54">
        <v>0</v>
      </c>
      <c r="L54">
        <v>9</v>
      </c>
      <c r="M54">
        <v>118</v>
      </c>
      <c r="N54">
        <v>112</v>
      </c>
      <c r="O54">
        <v>94.9</v>
      </c>
      <c r="P54">
        <v>98.9</v>
      </c>
      <c r="Q54">
        <v>88.9</v>
      </c>
      <c r="R54">
        <v>5</v>
      </c>
      <c r="S54">
        <v>7.5</v>
      </c>
      <c r="T54" t="s">
        <v>46</v>
      </c>
      <c r="U54">
        <v>1</v>
      </c>
      <c r="V54">
        <v>1</v>
      </c>
    </row>
    <row r="55" spans="1:22" x14ac:dyDescent="0.3">
      <c r="A55" t="s">
        <v>163</v>
      </c>
      <c r="B55" t="s">
        <v>164</v>
      </c>
      <c r="C55" t="s">
        <v>40</v>
      </c>
      <c r="D55" t="s">
        <v>25</v>
      </c>
      <c r="E55" t="s">
        <v>67</v>
      </c>
      <c r="F55" t="s">
        <v>54</v>
      </c>
      <c r="G55" t="s">
        <v>55</v>
      </c>
      <c r="H55" t="s">
        <v>29</v>
      </c>
      <c r="I55" t="s">
        <v>30</v>
      </c>
      <c r="J55">
        <v>82</v>
      </c>
      <c r="K55">
        <v>4</v>
      </c>
      <c r="L55">
        <v>24</v>
      </c>
      <c r="M55">
        <v>123</v>
      </c>
      <c r="N55">
        <v>122</v>
      </c>
      <c r="O55">
        <v>99.2</v>
      </c>
      <c r="P55">
        <v>98.2</v>
      </c>
      <c r="Q55">
        <v>100.2</v>
      </c>
      <c r="R55">
        <v>4.9000000000000004</v>
      </c>
      <c r="S55">
        <v>7.7</v>
      </c>
      <c r="T55" t="s">
        <v>46</v>
      </c>
      <c r="U55">
        <v>2</v>
      </c>
      <c r="V55">
        <v>0</v>
      </c>
    </row>
    <row r="56" spans="1:22" x14ac:dyDescent="0.3">
      <c r="A56" t="s">
        <v>165</v>
      </c>
      <c r="B56" t="s">
        <v>166</v>
      </c>
      <c r="C56" t="s">
        <v>40</v>
      </c>
      <c r="D56" t="s">
        <v>49</v>
      </c>
      <c r="E56" t="s">
        <v>71</v>
      </c>
      <c r="F56" t="s">
        <v>91</v>
      </c>
      <c r="G56" t="s">
        <v>43</v>
      </c>
      <c r="H56" t="s">
        <v>29</v>
      </c>
      <c r="I56" t="s">
        <v>73</v>
      </c>
      <c r="J56">
        <v>88</v>
      </c>
      <c r="K56">
        <v>3</v>
      </c>
      <c r="L56">
        <v>23</v>
      </c>
      <c r="M56">
        <v>161</v>
      </c>
      <c r="N56">
        <v>132</v>
      </c>
      <c r="O56">
        <v>82</v>
      </c>
      <c r="P56">
        <v>82</v>
      </c>
      <c r="Q56">
        <v>80</v>
      </c>
      <c r="R56">
        <v>3.7</v>
      </c>
      <c r="S56">
        <v>9.1999999999999993</v>
      </c>
      <c r="T56" t="s">
        <v>31</v>
      </c>
      <c r="U56">
        <v>6</v>
      </c>
      <c r="V56">
        <v>7</v>
      </c>
    </row>
    <row r="57" spans="1:22" x14ac:dyDescent="0.3">
      <c r="A57" t="s">
        <v>167</v>
      </c>
      <c r="B57" t="s">
        <v>70</v>
      </c>
      <c r="C57" t="s">
        <v>40</v>
      </c>
      <c r="D57" t="s">
        <v>25</v>
      </c>
      <c r="E57" t="s">
        <v>34</v>
      </c>
      <c r="F57" t="s">
        <v>35</v>
      </c>
      <c r="G57" t="s">
        <v>28</v>
      </c>
      <c r="H57" t="s">
        <v>44</v>
      </c>
      <c r="I57" t="s">
        <v>82</v>
      </c>
      <c r="J57">
        <v>84</v>
      </c>
      <c r="K57">
        <v>4</v>
      </c>
      <c r="L57">
        <v>9</v>
      </c>
      <c r="M57">
        <v>165</v>
      </c>
      <c r="N57">
        <v>158</v>
      </c>
      <c r="O57">
        <v>95.8</v>
      </c>
      <c r="P57">
        <v>91.8</v>
      </c>
      <c r="Q57">
        <v>99.8</v>
      </c>
      <c r="R57">
        <v>4.5</v>
      </c>
      <c r="S57">
        <v>7.4</v>
      </c>
      <c r="T57" t="s">
        <v>46</v>
      </c>
      <c r="U57">
        <v>1</v>
      </c>
      <c r="V57">
        <v>1</v>
      </c>
    </row>
    <row r="58" spans="1:22" x14ac:dyDescent="0.3">
      <c r="A58" t="s">
        <v>168</v>
      </c>
      <c r="B58" t="s">
        <v>169</v>
      </c>
      <c r="C58" t="s">
        <v>40</v>
      </c>
      <c r="D58" t="s">
        <v>25</v>
      </c>
      <c r="E58" t="s">
        <v>50</v>
      </c>
      <c r="F58" t="s">
        <v>27</v>
      </c>
      <c r="G58" t="s">
        <v>63</v>
      </c>
      <c r="H58" t="s">
        <v>44</v>
      </c>
      <c r="I58" t="s">
        <v>30</v>
      </c>
      <c r="J58">
        <v>89</v>
      </c>
      <c r="K58">
        <v>2</v>
      </c>
      <c r="L58">
        <v>20</v>
      </c>
      <c r="M58">
        <v>163</v>
      </c>
      <c r="N58">
        <v>140</v>
      </c>
      <c r="O58">
        <v>85.9</v>
      </c>
      <c r="P58">
        <v>82.9</v>
      </c>
      <c r="Q58">
        <v>89.9</v>
      </c>
      <c r="R58">
        <v>3.7</v>
      </c>
      <c r="S58">
        <v>8.8000000000000007</v>
      </c>
      <c r="T58" t="s">
        <v>31</v>
      </c>
      <c r="U58">
        <v>7</v>
      </c>
      <c r="V58">
        <v>1</v>
      </c>
    </row>
    <row r="59" spans="1:22" x14ac:dyDescent="0.3">
      <c r="A59" t="s">
        <v>170</v>
      </c>
      <c r="B59" t="s">
        <v>171</v>
      </c>
      <c r="C59" t="s">
        <v>24</v>
      </c>
      <c r="D59" t="s">
        <v>25</v>
      </c>
      <c r="E59" t="s">
        <v>34</v>
      </c>
      <c r="F59" t="s">
        <v>35</v>
      </c>
      <c r="G59" t="s">
        <v>63</v>
      </c>
      <c r="H59" t="s">
        <v>56</v>
      </c>
      <c r="I59" t="s">
        <v>37</v>
      </c>
      <c r="J59">
        <v>100</v>
      </c>
      <c r="K59">
        <v>0</v>
      </c>
      <c r="L59">
        <v>13</v>
      </c>
      <c r="M59">
        <v>126</v>
      </c>
      <c r="N59">
        <v>116</v>
      </c>
      <c r="O59">
        <v>92.1</v>
      </c>
      <c r="P59">
        <v>96.1</v>
      </c>
      <c r="Q59">
        <v>86.1</v>
      </c>
      <c r="R59">
        <v>4.9000000000000004</v>
      </c>
      <c r="S59">
        <v>8.1999999999999993</v>
      </c>
      <c r="T59" t="s">
        <v>46</v>
      </c>
      <c r="U59">
        <v>0</v>
      </c>
      <c r="V59">
        <v>4</v>
      </c>
    </row>
    <row r="60" spans="1:22" x14ac:dyDescent="0.3">
      <c r="A60" t="s">
        <v>172</v>
      </c>
      <c r="B60" t="s">
        <v>173</v>
      </c>
      <c r="C60" t="s">
        <v>40</v>
      </c>
      <c r="D60" t="s">
        <v>49</v>
      </c>
      <c r="E60" t="s">
        <v>34</v>
      </c>
      <c r="F60" t="s">
        <v>54</v>
      </c>
      <c r="G60" t="s">
        <v>55</v>
      </c>
      <c r="H60" t="s">
        <v>56</v>
      </c>
      <c r="I60" t="s">
        <v>30</v>
      </c>
      <c r="J60">
        <v>99</v>
      </c>
      <c r="K60">
        <v>0</v>
      </c>
      <c r="L60">
        <v>22</v>
      </c>
      <c r="M60">
        <v>124</v>
      </c>
      <c r="N60">
        <v>111</v>
      </c>
      <c r="O60">
        <v>89.5</v>
      </c>
      <c r="P60">
        <v>87.5</v>
      </c>
      <c r="Q60">
        <v>95.5</v>
      </c>
      <c r="R60">
        <v>4.0999999999999996</v>
      </c>
      <c r="S60">
        <v>7.7</v>
      </c>
      <c r="T60" t="s">
        <v>31</v>
      </c>
      <c r="U60">
        <v>6</v>
      </c>
      <c r="V60">
        <v>10</v>
      </c>
    </row>
    <row r="61" spans="1:22" x14ac:dyDescent="0.3">
      <c r="A61" t="s">
        <v>174</v>
      </c>
      <c r="B61" t="s">
        <v>175</v>
      </c>
      <c r="C61" t="s">
        <v>24</v>
      </c>
      <c r="D61" t="s">
        <v>25</v>
      </c>
      <c r="E61" t="s">
        <v>26</v>
      </c>
      <c r="F61" t="s">
        <v>35</v>
      </c>
      <c r="G61" t="s">
        <v>76</v>
      </c>
      <c r="H61" t="s">
        <v>44</v>
      </c>
      <c r="I61" t="s">
        <v>79</v>
      </c>
      <c r="J61">
        <v>93</v>
      </c>
      <c r="K61">
        <v>1</v>
      </c>
      <c r="L61">
        <v>25</v>
      </c>
      <c r="M61">
        <v>152</v>
      </c>
      <c r="N61">
        <v>143</v>
      </c>
      <c r="O61">
        <v>94.1</v>
      </c>
      <c r="P61">
        <v>96.1</v>
      </c>
      <c r="Q61">
        <v>99.1</v>
      </c>
      <c r="R61">
        <v>4.9000000000000004</v>
      </c>
      <c r="S61">
        <v>8.1</v>
      </c>
      <c r="T61" t="s">
        <v>46</v>
      </c>
      <c r="U61">
        <v>0</v>
      </c>
      <c r="V61">
        <v>3</v>
      </c>
    </row>
    <row r="62" spans="1:22" x14ac:dyDescent="0.3">
      <c r="A62" t="s">
        <v>176</v>
      </c>
      <c r="B62" t="s">
        <v>81</v>
      </c>
      <c r="C62" t="s">
        <v>40</v>
      </c>
      <c r="D62" t="s">
        <v>25</v>
      </c>
      <c r="E62" t="s">
        <v>71</v>
      </c>
      <c r="F62" t="s">
        <v>72</v>
      </c>
      <c r="G62" t="s">
        <v>28</v>
      </c>
      <c r="H62" t="s">
        <v>29</v>
      </c>
      <c r="I62" t="s">
        <v>51</v>
      </c>
      <c r="J62">
        <v>100</v>
      </c>
      <c r="K62">
        <v>0</v>
      </c>
      <c r="L62">
        <v>14</v>
      </c>
      <c r="M62">
        <v>162</v>
      </c>
      <c r="N62">
        <v>140</v>
      </c>
      <c r="O62">
        <v>86.4</v>
      </c>
      <c r="P62">
        <v>88.4</v>
      </c>
      <c r="Q62">
        <v>82.4</v>
      </c>
      <c r="R62">
        <v>4.2</v>
      </c>
      <c r="S62">
        <v>8.3000000000000007</v>
      </c>
      <c r="T62" t="s">
        <v>31</v>
      </c>
      <c r="U62">
        <v>4</v>
      </c>
      <c r="V62">
        <v>10</v>
      </c>
    </row>
    <row r="63" spans="1:22" x14ac:dyDescent="0.3">
      <c r="A63" t="s">
        <v>177</v>
      </c>
      <c r="B63" t="s">
        <v>178</v>
      </c>
      <c r="C63" t="s">
        <v>40</v>
      </c>
      <c r="D63" t="s">
        <v>25</v>
      </c>
      <c r="E63" t="s">
        <v>41</v>
      </c>
      <c r="F63" t="s">
        <v>27</v>
      </c>
      <c r="G63" t="s">
        <v>55</v>
      </c>
      <c r="H63" t="s">
        <v>44</v>
      </c>
      <c r="I63" t="s">
        <v>37</v>
      </c>
      <c r="J63">
        <v>94</v>
      </c>
      <c r="K63">
        <v>1</v>
      </c>
      <c r="L63">
        <v>4</v>
      </c>
      <c r="M63">
        <v>155</v>
      </c>
      <c r="N63">
        <v>148</v>
      </c>
      <c r="O63">
        <v>95.5</v>
      </c>
      <c r="P63">
        <v>95.5</v>
      </c>
      <c r="Q63">
        <v>97.5</v>
      </c>
      <c r="R63">
        <v>4.9000000000000004</v>
      </c>
      <c r="S63">
        <v>7.6</v>
      </c>
      <c r="T63" t="s">
        <v>46</v>
      </c>
      <c r="U63">
        <v>2</v>
      </c>
      <c r="V63">
        <v>3</v>
      </c>
    </row>
    <row r="64" spans="1:22" x14ac:dyDescent="0.3">
      <c r="A64" t="s">
        <v>179</v>
      </c>
      <c r="B64" t="s">
        <v>180</v>
      </c>
      <c r="C64" t="s">
        <v>40</v>
      </c>
      <c r="D64" t="s">
        <v>49</v>
      </c>
      <c r="E64" t="s">
        <v>71</v>
      </c>
      <c r="F64" t="s">
        <v>42</v>
      </c>
      <c r="G64" t="s">
        <v>76</v>
      </c>
      <c r="H64" t="s">
        <v>29</v>
      </c>
      <c r="I64" t="s">
        <v>73</v>
      </c>
      <c r="J64">
        <v>84</v>
      </c>
      <c r="K64">
        <v>4</v>
      </c>
      <c r="L64">
        <v>2</v>
      </c>
      <c r="M64">
        <v>97</v>
      </c>
      <c r="N64">
        <v>80</v>
      </c>
      <c r="O64">
        <v>82.5</v>
      </c>
      <c r="P64">
        <v>78.5</v>
      </c>
      <c r="Q64">
        <v>75.5</v>
      </c>
      <c r="R64">
        <v>3.3</v>
      </c>
      <c r="S64">
        <v>8.6</v>
      </c>
      <c r="T64" t="s">
        <v>31</v>
      </c>
      <c r="U64">
        <v>5</v>
      </c>
      <c r="V64">
        <v>6</v>
      </c>
    </row>
    <row r="65" spans="1:22" x14ac:dyDescent="0.3">
      <c r="A65" t="s">
        <v>181</v>
      </c>
      <c r="B65" t="s">
        <v>39</v>
      </c>
      <c r="C65" t="s">
        <v>40</v>
      </c>
      <c r="D65" t="s">
        <v>25</v>
      </c>
      <c r="E65" t="s">
        <v>34</v>
      </c>
      <c r="F65" t="s">
        <v>27</v>
      </c>
      <c r="G65" t="s">
        <v>36</v>
      </c>
      <c r="H65" t="s">
        <v>44</v>
      </c>
      <c r="I65" t="s">
        <v>73</v>
      </c>
      <c r="J65">
        <v>97</v>
      </c>
      <c r="K65">
        <v>0</v>
      </c>
      <c r="L65">
        <v>22</v>
      </c>
      <c r="M65">
        <v>116</v>
      </c>
      <c r="N65">
        <v>110</v>
      </c>
      <c r="O65">
        <v>94.8</v>
      </c>
      <c r="P65">
        <v>91.8</v>
      </c>
      <c r="Q65">
        <v>98.8</v>
      </c>
      <c r="R65">
        <v>4.4000000000000004</v>
      </c>
      <c r="S65">
        <v>7.4</v>
      </c>
      <c r="T65" t="s">
        <v>46</v>
      </c>
      <c r="U65">
        <v>1</v>
      </c>
      <c r="V65">
        <v>5</v>
      </c>
    </row>
    <row r="66" spans="1:22" x14ac:dyDescent="0.3">
      <c r="A66" t="s">
        <v>182</v>
      </c>
      <c r="B66" t="s">
        <v>150</v>
      </c>
      <c r="C66" t="s">
        <v>40</v>
      </c>
      <c r="D66" t="s">
        <v>49</v>
      </c>
      <c r="E66" t="s">
        <v>26</v>
      </c>
      <c r="F66" t="s">
        <v>35</v>
      </c>
      <c r="G66" t="s">
        <v>36</v>
      </c>
      <c r="H66" t="s">
        <v>56</v>
      </c>
      <c r="I66" t="s">
        <v>73</v>
      </c>
      <c r="J66">
        <v>97</v>
      </c>
      <c r="K66">
        <v>0</v>
      </c>
      <c r="L66">
        <v>2</v>
      </c>
      <c r="M66">
        <v>97</v>
      </c>
      <c r="N66">
        <v>86</v>
      </c>
      <c r="O66">
        <v>88.7</v>
      </c>
      <c r="P66">
        <v>85.7</v>
      </c>
      <c r="Q66">
        <v>90.7</v>
      </c>
      <c r="R66">
        <v>4</v>
      </c>
      <c r="S66">
        <v>8.6999999999999993</v>
      </c>
      <c r="T66" t="s">
        <v>31</v>
      </c>
      <c r="U66">
        <v>5</v>
      </c>
      <c r="V66">
        <v>9</v>
      </c>
    </row>
    <row r="67" spans="1:22" x14ac:dyDescent="0.3">
      <c r="A67" t="s">
        <v>183</v>
      </c>
      <c r="B67" t="s">
        <v>164</v>
      </c>
      <c r="C67" t="s">
        <v>40</v>
      </c>
      <c r="D67" t="s">
        <v>49</v>
      </c>
      <c r="E67" t="s">
        <v>41</v>
      </c>
      <c r="F67" t="s">
        <v>54</v>
      </c>
      <c r="G67" t="s">
        <v>28</v>
      </c>
      <c r="H67" t="s">
        <v>56</v>
      </c>
      <c r="I67" t="s">
        <v>30</v>
      </c>
      <c r="J67">
        <v>94</v>
      </c>
      <c r="K67">
        <v>1</v>
      </c>
      <c r="L67">
        <v>1</v>
      </c>
      <c r="M67">
        <v>113</v>
      </c>
      <c r="N67">
        <v>93</v>
      </c>
      <c r="O67">
        <v>82.3</v>
      </c>
      <c r="P67">
        <v>84.3</v>
      </c>
      <c r="Q67">
        <v>79.3</v>
      </c>
      <c r="R67">
        <v>3.9</v>
      </c>
      <c r="S67">
        <v>8.4</v>
      </c>
      <c r="T67" t="s">
        <v>31</v>
      </c>
      <c r="U67">
        <v>4</v>
      </c>
      <c r="V67">
        <v>11</v>
      </c>
    </row>
    <row r="68" spans="1:22" x14ac:dyDescent="0.3">
      <c r="A68" t="s">
        <v>184</v>
      </c>
      <c r="B68" t="s">
        <v>185</v>
      </c>
      <c r="C68" t="s">
        <v>24</v>
      </c>
      <c r="D68" t="s">
        <v>25</v>
      </c>
      <c r="E68" t="s">
        <v>71</v>
      </c>
      <c r="F68" t="s">
        <v>54</v>
      </c>
      <c r="G68" t="s">
        <v>28</v>
      </c>
      <c r="H68" t="s">
        <v>44</v>
      </c>
      <c r="I68" t="s">
        <v>60</v>
      </c>
      <c r="J68">
        <v>82</v>
      </c>
      <c r="K68">
        <v>4</v>
      </c>
      <c r="L68">
        <v>5</v>
      </c>
      <c r="M68">
        <v>107</v>
      </c>
      <c r="N68">
        <v>89</v>
      </c>
      <c r="O68">
        <v>83.2</v>
      </c>
      <c r="P68">
        <v>81.2</v>
      </c>
      <c r="Q68">
        <v>79.2</v>
      </c>
      <c r="R68">
        <v>3.7</v>
      </c>
      <c r="S68">
        <v>8.1999999999999993</v>
      </c>
      <c r="T68" t="s">
        <v>31</v>
      </c>
      <c r="U68">
        <v>7</v>
      </c>
      <c r="V68">
        <v>10</v>
      </c>
    </row>
    <row r="69" spans="1:22" x14ac:dyDescent="0.3">
      <c r="A69" t="s">
        <v>186</v>
      </c>
      <c r="B69" t="s">
        <v>187</v>
      </c>
      <c r="C69" t="s">
        <v>40</v>
      </c>
      <c r="D69" t="s">
        <v>25</v>
      </c>
      <c r="E69" t="s">
        <v>50</v>
      </c>
      <c r="F69" t="s">
        <v>42</v>
      </c>
      <c r="G69" t="s">
        <v>43</v>
      </c>
      <c r="H69" t="s">
        <v>44</v>
      </c>
      <c r="I69" t="s">
        <v>51</v>
      </c>
      <c r="J69">
        <v>94</v>
      </c>
      <c r="K69">
        <v>1</v>
      </c>
      <c r="L69">
        <v>20</v>
      </c>
      <c r="M69">
        <v>134</v>
      </c>
      <c r="N69">
        <v>134</v>
      </c>
      <c r="O69">
        <v>100</v>
      </c>
      <c r="P69">
        <v>100</v>
      </c>
      <c r="Q69">
        <v>96</v>
      </c>
      <c r="R69">
        <v>5</v>
      </c>
      <c r="S69">
        <v>7</v>
      </c>
      <c r="T69" t="s">
        <v>46</v>
      </c>
      <c r="U69">
        <v>1</v>
      </c>
      <c r="V69">
        <v>8</v>
      </c>
    </row>
    <row r="70" spans="1:22" x14ac:dyDescent="0.3">
      <c r="A70" t="s">
        <v>188</v>
      </c>
      <c r="B70" t="s">
        <v>121</v>
      </c>
      <c r="C70" t="s">
        <v>40</v>
      </c>
      <c r="D70" t="s">
        <v>25</v>
      </c>
      <c r="E70" t="s">
        <v>26</v>
      </c>
      <c r="F70" t="s">
        <v>91</v>
      </c>
      <c r="G70" t="s">
        <v>55</v>
      </c>
      <c r="H70" t="s">
        <v>44</v>
      </c>
      <c r="I70" t="s">
        <v>60</v>
      </c>
      <c r="J70">
        <v>96</v>
      </c>
      <c r="K70">
        <v>1</v>
      </c>
      <c r="L70">
        <v>0</v>
      </c>
      <c r="M70">
        <v>115</v>
      </c>
      <c r="N70">
        <v>108</v>
      </c>
      <c r="O70">
        <v>93.9</v>
      </c>
      <c r="P70">
        <v>91.9</v>
      </c>
      <c r="Q70">
        <v>85.9</v>
      </c>
      <c r="R70">
        <v>4.4000000000000004</v>
      </c>
      <c r="S70">
        <v>8.1999999999999993</v>
      </c>
      <c r="T70" t="s">
        <v>46</v>
      </c>
      <c r="U70">
        <v>1</v>
      </c>
      <c r="V70">
        <v>8</v>
      </c>
    </row>
    <row r="71" spans="1:22" x14ac:dyDescent="0.3">
      <c r="A71" t="s">
        <v>189</v>
      </c>
      <c r="B71" t="s">
        <v>190</v>
      </c>
      <c r="C71" t="s">
        <v>24</v>
      </c>
      <c r="D71" t="s">
        <v>25</v>
      </c>
      <c r="E71" t="s">
        <v>41</v>
      </c>
      <c r="F71" t="s">
        <v>27</v>
      </c>
      <c r="G71" t="s">
        <v>43</v>
      </c>
      <c r="H71" t="s">
        <v>44</v>
      </c>
      <c r="I71" t="s">
        <v>92</v>
      </c>
      <c r="J71">
        <v>98</v>
      </c>
      <c r="K71">
        <v>0</v>
      </c>
      <c r="L71">
        <v>11</v>
      </c>
      <c r="M71">
        <v>95</v>
      </c>
      <c r="N71">
        <v>78</v>
      </c>
      <c r="O71">
        <v>82.1</v>
      </c>
      <c r="P71">
        <v>83.1</v>
      </c>
      <c r="Q71">
        <v>78.099999999999994</v>
      </c>
      <c r="R71">
        <v>3.6</v>
      </c>
      <c r="S71">
        <v>8.5</v>
      </c>
      <c r="T71" t="s">
        <v>31</v>
      </c>
      <c r="U71">
        <v>5</v>
      </c>
      <c r="V71">
        <v>0</v>
      </c>
    </row>
    <row r="72" spans="1:22" x14ac:dyDescent="0.3">
      <c r="A72" t="s">
        <v>191</v>
      </c>
      <c r="B72" t="s">
        <v>192</v>
      </c>
      <c r="C72" t="s">
        <v>40</v>
      </c>
      <c r="D72" t="s">
        <v>49</v>
      </c>
      <c r="E72" t="s">
        <v>26</v>
      </c>
      <c r="F72" t="s">
        <v>91</v>
      </c>
      <c r="G72" t="s">
        <v>55</v>
      </c>
      <c r="H72" t="s">
        <v>29</v>
      </c>
      <c r="I72" t="s">
        <v>92</v>
      </c>
      <c r="J72">
        <v>96</v>
      </c>
      <c r="K72">
        <v>1</v>
      </c>
      <c r="L72">
        <v>20</v>
      </c>
      <c r="M72">
        <v>158</v>
      </c>
      <c r="N72">
        <v>154</v>
      </c>
      <c r="O72">
        <v>97.5</v>
      </c>
      <c r="P72">
        <v>94.5</v>
      </c>
      <c r="Q72">
        <v>105.5</v>
      </c>
      <c r="R72">
        <v>4.8</v>
      </c>
      <c r="S72">
        <v>7.7</v>
      </c>
      <c r="T72" t="s">
        <v>46</v>
      </c>
      <c r="U72">
        <v>2</v>
      </c>
      <c r="V72">
        <v>6</v>
      </c>
    </row>
    <row r="73" spans="1:22" x14ac:dyDescent="0.3">
      <c r="A73" t="s">
        <v>193</v>
      </c>
      <c r="B73" t="s">
        <v>187</v>
      </c>
      <c r="C73" t="s">
        <v>40</v>
      </c>
      <c r="D73" t="s">
        <v>25</v>
      </c>
      <c r="E73" t="s">
        <v>50</v>
      </c>
      <c r="F73" t="s">
        <v>42</v>
      </c>
      <c r="G73" t="s">
        <v>28</v>
      </c>
      <c r="H73" t="s">
        <v>56</v>
      </c>
      <c r="I73" t="s">
        <v>45</v>
      </c>
      <c r="J73">
        <v>86</v>
      </c>
      <c r="K73">
        <v>3</v>
      </c>
      <c r="L73">
        <v>13</v>
      </c>
      <c r="M73">
        <v>179</v>
      </c>
      <c r="N73">
        <v>165</v>
      </c>
      <c r="O73">
        <v>92.2</v>
      </c>
      <c r="P73">
        <v>89.2</v>
      </c>
      <c r="Q73">
        <v>99.2</v>
      </c>
      <c r="R73">
        <v>4.0999999999999996</v>
      </c>
      <c r="S73">
        <v>8</v>
      </c>
      <c r="T73" t="s">
        <v>46</v>
      </c>
      <c r="U73">
        <v>1</v>
      </c>
      <c r="V73">
        <v>4</v>
      </c>
    </row>
    <row r="74" spans="1:22" x14ac:dyDescent="0.3">
      <c r="A74" t="s">
        <v>194</v>
      </c>
      <c r="B74" t="s">
        <v>195</v>
      </c>
      <c r="C74" t="s">
        <v>24</v>
      </c>
      <c r="D74" t="s">
        <v>49</v>
      </c>
      <c r="E74" t="s">
        <v>34</v>
      </c>
      <c r="F74" t="s">
        <v>54</v>
      </c>
      <c r="G74" t="s">
        <v>63</v>
      </c>
      <c r="H74" t="s">
        <v>29</v>
      </c>
      <c r="I74" t="s">
        <v>79</v>
      </c>
      <c r="J74">
        <v>88</v>
      </c>
      <c r="K74">
        <v>3</v>
      </c>
      <c r="L74">
        <v>14</v>
      </c>
      <c r="M74">
        <v>122</v>
      </c>
      <c r="N74">
        <v>119</v>
      </c>
      <c r="O74">
        <v>97.5</v>
      </c>
      <c r="P74">
        <v>97.5</v>
      </c>
      <c r="Q74">
        <v>99.5</v>
      </c>
      <c r="R74">
        <v>5</v>
      </c>
      <c r="S74">
        <v>7.6</v>
      </c>
      <c r="T74" t="s">
        <v>46</v>
      </c>
      <c r="U74">
        <v>0</v>
      </c>
      <c r="V74">
        <v>4</v>
      </c>
    </row>
    <row r="75" spans="1:22" x14ac:dyDescent="0.3">
      <c r="A75" t="s">
        <v>196</v>
      </c>
      <c r="B75" t="s">
        <v>178</v>
      </c>
      <c r="C75" t="s">
        <v>24</v>
      </c>
      <c r="D75" t="s">
        <v>49</v>
      </c>
      <c r="E75" t="s">
        <v>67</v>
      </c>
      <c r="F75" t="s">
        <v>35</v>
      </c>
      <c r="G75" t="s">
        <v>28</v>
      </c>
      <c r="H75" t="s">
        <v>56</v>
      </c>
      <c r="I75" t="s">
        <v>79</v>
      </c>
      <c r="J75">
        <v>99</v>
      </c>
      <c r="K75">
        <v>0</v>
      </c>
      <c r="L75">
        <v>8</v>
      </c>
      <c r="M75">
        <v>156</v>
      </c>
      <c r="N75">
        <v>132</v>
      </c>
      <c r="O75">
        <v>84.6</v>
      </c>
      <c r="P75">
        <v>83.6</v>
      </c>
      <c r="Q75">
        <v>87.6</v>
      </c>
      <c r="R75">
        <v>3.7</v>
      </c>
      <c r="S75">
        <v>8.5</v>
      </c>
      <c r="T75" t="s">
        <v>31</v>
      </c>
      <c r="U75">
        <v>5</v>
      </c>
      <c r="V75">
        <v>10</v>
      </c>
    </row>
    <row r="76" spans="1:22" x14ac:dyDescent="0.3">
      <c r="A76" t="s">
        <v>197</v>
      </c>
      <c r="B76" t="s">
        <v>198</v>
      </c>
      <c r="C76" t="s">
        <v>40</v>
      </c>
      <c r="D76" t="s">
        <v>25</v>
      </c>
      <c r="E76" t="s">
        <v>26</v>
      </c>
      <c r="F76" t="s">
        <v>91</v>
      </c>
      <c r="G76" t="s">
        <v>36</v>
      </c>
      <c r="H76" t="s">
        <v>44</v>
      </c>
      <c r="I76" t="s">
        <v>92</v>
      </c>
      <c r="J76">
        <v>97</v>
      </c>
      <c r="K76">
        <v>0</v>
      </c>
      <c r="L76">
        <v>3</v>
      </c>
      <c r="M76">
        <v>116</v>
      </c>
      <c r="N76">
        <v>116</v>
      </c>
      <c r="O76">
        <v>100</v>
      </c>
      <c r="P76">
        <v>98</v>
      </c>
      <c r="Q76">
        <v>102</v>
      </c>
      <c r="R76">
        <v>5</v>
      </c>
      <c r="S76">
        <v>7.4</v>
      </c>
      <c r="T76" t="s">
        <v>46</v>
      </c>
      <c r="U76">
        <v>2</v>
      </c>
      <c r="V76">
        <v>7</v>
      </c>
    </row>
    <row r="77" spans="1:22" x14ac:dyDescent="0.3">
      <c r="A77" t="s">
        <v>199</v>
      </c>
      <c r="B77" t="s">
        <v>143</v>
      </c>
      <c r="C77" t="s">
        <v>24</v>
      </c>
      <c r="D77" t="s">
        <v>25</v>
      </c>
      <c r="E77" t="s">
        <v>26</v>
      </c>
      <c r="F77" t="s">
        <v>54</v>
      </c>
      <c r="G77" t="s">
        <v>36</v>
      </c>
      <c r="H77" t="s">
        <v>44</v>
      </c>
      <c r="I77" t="s">
        <v>45</v>
      </c>
      <c r="J77">
        <v>97</v>
      </c>
      <c r="K77">
        <v>0</v>
      </c>
      <c r="L77">
        <v>19</v>
      </c>
      <c r="M77">
        <v>119</v>
      </c>
      <c r="N77">
        <v>101</v>
      </c>
      <c r="O77">
        <v>84.9</v>
      </c>
      <c r="P77">
        <v>84.9</v>
      </c>
      <c r="Q77">
        <v>91.9</v>
      </c>
      <c r="R77">
        <v>4</v>
      </c>
      <c r="S77">
        <v>8.1</v>
      </c>
      <c r="T77" t="s">
        <v>31</v>
      </c>
      <c r="U77">
        <v>3</v>
      </c>
      <c r="V77">
        <v>3</v>
      </c>
    </row>
    <row r="78" spans="1:22" x14ac:dyDescent="0.3">
      <c r="A78" t="s">
        <v>200</v>
      </c>
      <c r="B78" t="s">
        <v>75</v>
      </c>
      <c r="C78" t="s">
        <v>24</v>
      </c>
      <c r="D78" t="s">
        <v>49</v>
      </c>
      <c r="E78" t="s">
        <v>71</v>
      </c>
      <c r="F78" t="s">
        <v>91</v>
      </c>
      <c r="G78" t="s">
        <v>55</v>
      </c>
      <c r="H78" t="s">
        <v>56</v>
      </c>
      <c r="I78" t="s">
        <v>64</v>
      </c>
      <c r="J78">
        <v>82</v>
      </c>
      <c r="K78">
        <v>4</v>
      </c>
      <c r="L78">
        <v>21</v>
      </c>
      <c r="M78">
        <v>139</v>
      </c>
      <c r="N78">
        <v>138</v>
      </c>
      <c r="O78">
        <v>99.3</v>
      </c>
      <c r="P78">
        <v>100</v>
      </c>
      <c r="Q78">
        <v>92.3</v>
      </c>
      <c r="R78">
        <v>5</v>
      </c>
      <c r="S78">
        <v>7.2</v>
      </c>
      <c r="T78" t="s">
        <v>46</v>
      </c>
      <c r="U78">
        <v>0</v>
      </c>
      <c r="V78">
        <v>11</v>
      </c>
    </row>
    <row r="79" spans="1:22" x14ac:dyDescent="0.3">
      <c r="A79" t="s">
        <v>201</v>
      </c>
      <c r="B79" t="s">
        <v>202</v>
      </c>
      <c r="C79" t="s">
        <v>40</v>
      </c>
      <c r="D79" t="s">
        <v>49</v>
      </c>
      <c r="E79" t="s">
        <v>50</v>
      </c>
      <c r="F79" t="s">
        <v>27</v>
      </c>
      <c r="G79" t="s">
        <v>28</v>
      </c>
      <c r="H79" t="s">
        <v>44</v>
      </c>
      <c r="I79" t="s">
        <v>92</v>
      </c>
      <c r="J79">
        <v>90</v>
      </c>
      <c r="K79">
        <v>2</v>
      </c>
      <c r="L79">
        <v>14</v>
      </c>
      <c r="M79">
        <v>92</v>
      </c>
      <c r="N79">
        <v>91</v>
      </c>
      <c r="O79">
        <v>98.9</v>
      </c>
      <c r="P79">
        <v>96.9</v>
      </c>
      <c r="Q79">
        <v>96.9</v>
      </c>
      <c r="R79">
        <v>5</v>
      </c>
      <c r="S79">
        <v>7.4</v>
      </c>
      <c r="T79" t="s">
        <v>46</v>
      </c>
      <c r="U79">
        <v>2</v>
      </c>
      <c r="V79">
        <v>11</v>
      </c>
    </row>
    <row r="80" spans="1:22" x14ac:dyDescent="0.3">
      <c r="A80" t="s">
        <v>203</v>
      </c>
      <c r="B80" t="s">
        <v>204</v>
      </c>
      <c r="C80" t="s">
        <v>24</v>
      </c>
      <c r="D80" t="s">
        <v>49</v>
      </c>
      <c r="E80" t="s">
        <v>67</v>
      </c>
      <c r="F80" t="s">
        <v>35</v>
      </c>
      <c r="G80" t="s">
        <v>76</v>
      </c>
      <c r="H80" t="s">
        <v>44</v>
      </c>
      <c r="I80" t="s">
        <v>57</v>
      </c>
      <c r="J80">
        <v>99</v>
      </c>
      <c r="K80">
        <v>0</v>
      </c>
      <c r="L80">
        <v>22</v>
      </c>
      <c r="M80">
        <v>122</v>
      </c>
      <c r="N80">
        <v>122</v>
      </c>
      <c r="O80">
        <v>100</v>
      </c>
      <c r="P80">
        <v>96</v>
      </c>
      <c r="Q80">
        <v>105</v>
      </c>
      <c r="R80">
        <v>4.7</v>
      </c>
      <c r="S80">
        <v>7.3</v>
      </c>
      <c r="T80" t="s">
        <v>46</v>
      </c>
      <c r="U80">
        <v>2</v>
      </c>
      <c r="V80">
        <v>6</v>
      </c>
    </row>
    <row r="81" spans="1:22" x14ac:dyDescent="0.3">
      <c r="A81" t="s">
        <v>205</v>
      </c>
      <c r="B81" t="s">
        <v>206</v>
      </c>
      <c r="C81" t="s">
        <v>40</v>
      </c>
      <c r="D81" t="s">
        <v>49</v>
      </c>
      <c r="E81" t="s">
        <v>67</v>
      </c>
      <c r="F81" t="s">
        <v>91</v>
      </c>
      <c r="G81" t="s">
        <v>28</v>
      </c>
      <c r="H81" t="s">
        <v>44</v>
      </c>
      <c r="I81" t="s">
        <v>51</v>
      </c>
      <c r="J81">
        <v>82</v>
      </c>
      <c r="K81">
        <v>4</v>
      </c>
      <c r="L81">
        <v>14</v>
      </c>
      <c r="M81">
        <v>121</v>
      </c>
      <c r="N81">
        <v>101</v>
      </c>
      <c r="O81">
        <v>83.5</v>
      </c>
      <c r="P81">
        <v>79.5</v>
      </c>
      <c r="Q81">
        <v>80.5</v>
      </c>
      <c r="R81">
        <v>3.6</v>
      </c>
      <c r="S81">
        <v>8.6999999999999993</v>
      </c>
      <c r="T81" t="s">
        <v>31</v>
      </c>
      <c r="U81">
        <v>3</v>
      </c>
      <c r="V81">
        <v>5</v>
      </c>
    </row>
    <row r="82" spans="1:22" x14ac:dyDescent="0.3">
      <c r="A82" t="s">
        <v>207</v>
      </c>
      <c r="B82" t="s">
        <v>208</v>
      </c>
      <c r="C82" t="s">
        <v>40</v>
      </c>
      <c r="D82" t="s">
        <v>49</v>
      </c>
      <c r="E82" t="s">
        <v>67</v>
      </c>
      <c r="F82" t="s">
        <v>54</v>
      </c>
      <c r="G82" t="s">
        <v>36</v>
      </c>
      <c r="H82" t="s">
        <v>56</v>
      </c>
      <c r="I82" t="s">
        <v>79</v>
      </c>
      <c r="J82">
        <v>99</v>
      </c>
      <c r="K82">
        <v>0</v>
      </c>
      <c r="L82">
        <v>14</v>
      </c>
      <c r="M82">
        <v>160</v>
      </c>
      <c r="N82">
        <v>131</v>
      </c>
      <c r="O82">
        <v>81.900000000000006</v>
      </c>
      <c r="P82">
        <v>80.900000000000006</v>
      </c>
      <c r="Q82">
        <v>75</v>
      </c>
      <c r="R82">
        <v>3.6</v>
      </c>
      <c r="S82">
        <v>8.4</v>
      </c>
      <c r="T82" t="s">
        <v>31</v>
      </c>
      <c r="U82">
        <v>6</v>
      </c>
      <c r="V82">
        <v>2</v>
      </c>
    </row>
    <row r="83" spans="1:22" x14ac:dyDescent="0.3">
      <c r="A83" t="s">
        <v>209</v>
      </c>
      <c r="B83" t="s">
        <v>210</v>
      </c>
      <c r="C83" t="s">
        <v>40</v>
      </c>
      <c r="D83" t="s">
        <v>49</v>
      </c>
      <c r="E83" t="s">
        <v>26</v>
      </c>
      <c r="F83" t="s">
        <v>54</v>
      </c>
      <c r="G83" t="s">
        <v>36</v>
      </c>
      <c r="H83" t="s">
        <v>44</v>
      </c>
      <c r="I83" t="s">
        <v>79</v>
      </c>
      <c r="J83">
        <v>91</v>
      </c>
      <c r="K83">
        <v>2</v>
      </c>
      <c r="L83">
        <v>2</v>
      </c>
      <c r="M83">
        <v>128</v>
      </c>
      <c r="N83">
        <v>107</v>
      </c>
      <c r="O83">
        <v>83.6</v>
      </c>
      <c r="P83">
        <v>86.6</v>
      </c>
      <c r="Q83">
        <v>82.6</v>
      </c>
      <c r="R83">
        <v>4.0999999999999996</v>
      </c>
      <c r="S83">
        <v>9.1</v>
      </c>
      <c r="T83" t="s">
        <v>31</v>
      </c>
      <c r="U83">
        <v>6</v>
      </c>
      <c r="V83">
        <v>8</v>
      </c>
    </row>
    <row r="84" spans="1:22" x14ac:dyDescent="0.3">
      <c r="A84" t="s">
        <v>211</v>
      </c>
      <c r="B84" t="s">
        <v>212</v>
      </c>
      <c r="C84" t="s">
        <v>24</v>
      </c>
      <c r="D84" t="s">
        <v>25</v>
      </c>
      <c r="E84" t="s">
        <v>67</v>
      </c>
      <c r="F84" t="s">
        <v>42</v>
      </c>
      <c r="G84" t="s">
        <v>76</v>
      </c>
      <c r="H84" t="s">
        <v>56</v>
      </c>
      <c r="I84" t="s">
        <v>73</v>
      </c>
      <c r="J84">
        <v>99</v>
      </c>
      <c r="K84">
        <v>0</v>
      </c>
      <c r="L84">
        <v>3</v>
      </c>
      <c r="M84">
        <v>110</v>
      </c>
      <c r="N84">
        <v>91</v>
      </c>
      <c r="O84">
        <v>82.7</v>
      </c>
      <c r="P84">
        <v>83.7</v>
      </c>
      <c r="Q84">
        <v>86.7</v>
      </c>
      <c r="R84">
        <v>3.9</v>
      </c>
      <c r="S84">
        <v>8.5</v>
      </c>
      <c r="T84" t="s">
        <v>31</v>
      </c>
      <c r="U84">
        <v>6</v>
      </c>
      <c r="V84">
        <v>2</v>
      </c>
    </row>
    <row r="85" spans="1:22" x14ac:dyDescent="0.3">
      <c r="A85" t="s">
        <v>213</v>
      </c>
      <c r="B85" t="s">
        <v>164</v>
      </c>
      <c r="C85" t="s">
        <v>40</v>
      </c>
      <c r="D85" t="s">
        <v>25</v>
      </c>
      <c r="E85" t="s">
        <v>34</v>
      </c>
      <c r="F85" t="s">
        <v>27</v>
      </c>
      <c r="G85" t="s">
        <v>28</v>
      </c>
      <c r="H85" t="s">
        <v>29</v>
      </c>
      <c r="I85" t="s">
        <v>57</v>
      </c>
      <c r="J85">
        <v>98</v>
      </c>
      <c r="K85">
        <v>0</v>
      </c>
      <c r="L85">
        <v>1</v>
      </c>
      <c r="M85">
        <v>100</v>
      </c>
      <c r="N85">
        <v>91</v>
      </c>
      <c r="O85">
        <v>91</v>
      </c>
      <c r="P85">
        <v>90</v>
      </c>
      <c r="Q85">
        <v>96</v>
      </c>
      <c r="R85">
        <v>4.2</v>
      </c>
      <c r="S85">
        <v>7.8</v>
      </c>
      <c r="T85" t="s">
        <v>46</v>
      </c>
      <c r="U85">
        <v>1</v>
      </c>
      <c r="V85">
        <v>12</v>
      </c>
    </row>
    <row r="86" spans="1:22" x14ac:dyDescent="0.3">
      <c r="A86" t="s">
        <v>214</v>
      </c>
      <c r="B86" t="s">
        <v>215</v>
      </c>
      <c r="C86" t="s">
        <v>40</v>
      </c>
      <c r="D86" t="s">
        <v>25</v>
      </c>
      <c r="E86" t="s">
        <v>67</v>
      </c>
      <c r="F86" t="s">
        <v>72</v>
      </c>
      <c r="G86" t="s">
        <v>36</v>
      </c>
      <c r="H86" t="s">
        <v>56</v>
      </c>
      <c r="I86" t="s">
        <v>57</v>
      </c>
      <c r="J86">
        <v>87</v>
      </c>
      <c r="K86">
        <v>3</v>
      </c>
      <c r="L86">
        <v>24</v>
      </c>
      <c r="M86">
        <v>141</v>
      </c>
      <c r="N86">
        <v>127</v>
      </c>
      <c r="O86">
        <v>90.1</v>
      </c>
      <c r="P86">
        <v>88.1</v>
      </c>
      <c r="Q86">
        <v>84.1</v>
      </c>
      <c r="R86">
        <v>4.0999999999999996</v>
      </c>
      <c r="S86">
        <v>7.9</v>
      </c>
      <c r="T86" t="s">
        <v>46</v>
      </c>
      <c r="U86">
        <v>0</v>
      </c>
      <c r="V86">
        <v>7</v>
      </c>
    </row>
    <row r="87" spans="1:22" x14ac:dyDescent="0.3">
      <c r="A87" t="s">
        <v>216</v>
      </c>
      <c r="B87" t="s">
        <v>106</v>
      </c>
      <c r="C87" t="s">
        <v>24</v>
      </c>
      <c r="D87" t="s">
        <v>49</v>
      </c>
      <c r="E87" t="s">
        <v>41</v>
      </c>
      <c r="F87" t="s">
        <v>42</v>
      </c>
      <c r="G87" t="s">
        <v>28</v>
      </c>
      <c r="H87" t="s">
        <v>29</v>
      </c>
      <c r="I87" t="s">
        <v>79</v>
      </c>
      <c r="J87">
        <v>93</v>
      </c>
      <c r="K87">
        <v>1</v>
      </c>
      <c r="L87">
        <v>6</v>
      </c>
      <c r="M87">
        <v>93</v>
      </c>
      <c r="N87">
        <v>89</v>
      </c>
      <c r="O87">
        <v>95.7</v>
      </c>
      <c r="P87">
        <v>91.7</v>
      </c>
      <c r="Q87">
        <v>94.7</v>
      </c>
      <c r="R87">
        <v>4.4000000000000004</v>
      </c>
      <c r="S87">
        <v>7.6</v>
      </c>
      <c r="T87" t="s">
        <v>46</v>
      </c>
      <c r="U87">
        <v>0</v>
      </c>
      <c r="V87">
        <v>1</v>
      </c>
    </row>
    <row r="88" spans="1:22" x14ac:dyDescent="0.3">
      <c r="A88" t="s">
        <v>217</v>
      </c>
      <c r="B88" t="s">
        <v>126</v>
      </c>
      <c r="C88" t="s">
        <v>24</v>
      </c>
      <c r="D88" t="s">
        <v>49</v>
      </c>
      <c r="E88" t="s">
        <v>67</v>
      </c>
      <c r="F88" t="s">
        <v>54</v>
      </c>
      <c r="G88" t="s">
        <v>55</v>
      </c>
      <c r="H88" t="s">
        <v>29</v>
      </c>
      <c r="I88" t="s">
        <v>68</v>
      </c>
      <c r="J88">
        <v>97</v>
      </c>
      <c r="K88">
        <v>0</v>
      </c>
      <c r="L88">
        <v>10</v>
      </c>
      <c r="M88">
        <v>105</v>
      </c>
      <c r="N88">
        <v>104</v>
      </c>
      <c r="O88">
        <v>99</v>
      </c>
      <c r="P88">
        <v>100</v>
      </c>
      <c r="Q88">
        <v>95</v>
      </c>
      <c r="R88">
        <v>5</v>
      </c>
      <c r="S88">
        <v>7.2</v>
      </c>
      <c r="T88" t="s">
        <v>46</v>
      </c>
      <c r="U88">
        <v>0</v>
      </c>
      <c r="V88">
        <v>4</v>
      </c>
    </row>
    <row r="89" spans="1:22" x14ac:dyDescent="0.3">
      <c r="A89" t="s">
        <v>218</v>
      </c>
      <c r="B89" t="s">
        <v>219</v>
      </c>
      <c r="C89" t="s">
        <v>24</v>
      </c>
      <c r="D89" t="s">
        <v>49</v>
      </c>
      <c r="E89" t="s">
        <v>71</v>
      </c>
      <c r="F89" t="s">
        <v>54</v>
      </c>
      <c r="G89" t="s">
        <v>43</v>
      </c>
      <c r="H89" t="s">
        <v>44</v>
      </c>
      <c r="I89" t="s">
        <v>57</v>
      </c>
      <c r="J89">
        <v>97</v>
      </c>
      <c r="K89">
        <v>0</v>
      </c>
      <c r="L89">
        <v>12</v>
      </c>
      <c r="M89">
        <v>122</v>
      </c>
      <c r="N89">
        <v>101</v>
      </c>
      <c r="O89">
        <v>82.8</v>
      </c>
      <c r="P89">
        <v>81.8</v>
      </c>
      <c r="Q89">
        <v>80.8</v>
      </c>
      <c r="R89">
        <v>3.7</v>
      </c>
      <c r="S89">
        <v>8.3000000000000007</v>
      </c>
      <c r="T89" t="s">
        <v>31</v>
      </c>
      <c r="U89">
        <v>4</v>
      </c>
      <c r="V89">
        <v>2</v>
      </c>
    </row>
    <row r="90" spans="1:22" x14ac:dyDescent="0.3">
      <c r="A90" t="s">
        <v>220</v>
      </c>
      <c r="B90" t="s">
        <v>221</v>
      </c>
      <c r="C90" t="s">
        <v>24</v>
      </c>
      <c r="D90" t="s">
        <v>49</v>
      </c>
      <c r="E90" t="s">
        <v>34</v>
      </c>
      <c r="F90" t="s">
        <v>54</v>
      </c>
      <c r="G90" t="s">
        <v>36</v>
      </c>
      <c r="H90" t="s">
        <v>44</v>
      </c>
      <c r="I90" t="s">
        <v>92</v>
      </c>
      <c r="J90">
        <v>86</v>
      </c>
      <c r="K90">
        <v>3</v>
      </c>
      <c r="L90">
        <v>15</v>
      </c>
      <c r="M90">
        <v>171</v>
      </c>
      <c r="N90">
        <v>149</v>
      </c>
      <c r="O90">
        <v>87.1</v>
      </c>
      <c r="P90">
        <v>87.1</v>
      </c>
      <c r="Q90">
        <v>91.1</v>
      </c>
      <c r="R90">
        <v>4.0999999999999996</v>
      </c>
      <c r="S90">
        <v>7.9</v>
      </c>
      <c r="T90" t="s">
        <v>31</v>
      </c>
      <c r="U90">
        <v>5</v>
      </c>
      <c r="V90">
        <v>4</v>
      </c>
    </row>
    <row r="91" spans="1:22" x14ac:dyDescent="0.3">
      <c r="A91" t="s">
        <v>222</v>
      </c>
      <c r="B91" t="s">
        <v>66</v>
      </c>
      <c r="C91" t="s">
        <v>24</v>
      </c>
      <c r="D91" t="s">
        <v>25</v>
      </c>
      <c r="E91" t="s">
        <v>34</v>
      </c>
      <c r="F91" t="s">
        <v>42</v>
      </c>
      <c r="G91" t="s">
        <v>36</v>
      </c>
      <c r="H91" t="s">
        <v>29</v>
      </c>
      <c r="I91" t="s">
        <v>73</v>
      </c>
      <c r="J91">
        <v>88</v>
      </c>
      <c r="K91">
        <v>3</v>
      </c>
      <c r="L91">
        <v>7</v>
      </c>
      <c r="M91">
        <v>130</v>
      </c>
      <c r="N91">
        <v>107</v>
      </c>
      <c r="O91">
        <v>82.3</v>
      </c>
      <c r="P91">
        <v>83.3</v>
      </c>
      <c r="Q91">
        <v>78.3</v>
      </c>
      <c r="R91">
        <v>3.9</v>
      </c>
      <c r="S91">
        <v>8.8000000000000007</v>
      </c>
      <c r="T91" t="s">
        <v>31</v>
      </c>
      <c r="U91">
        <v>7</v>
      </c>
      <c r="V91">
        <v>6</v>
      </c>
    </row>
    <row r="92" spans="1:22" x14ac:dyDescent="0.3">
      <c r="A92" t="s">
        <v>223</v>
      </c>
      <c r="B92" t="s">
        <v>224</v>
      </c>
      <c r="C92" t="s">
        <v>40</v>
      </c>
      <c r="D92" t="s">
        <v>49</v>
      </c>
      <c r="E92" t="s">
        <v>67</v>
      </c>
      <c r="F92" t="s">
        <v>27</v>
      </c>
      <c r="G92" t="s">
        <v>76</v>
      </c>
      <c r="H92" t="s">
        <v>29</v>
      </c>
      <c r="I92" t="s">
        <v>79</v>
      </c>
      <c r="J92">
        <v>85</v>
      </c>
      <c r="K92">
        <v>3</v>
      </c>
      <c r="L92">
        <v>11</v>
      </c>
      <c r="M92">
        <v>120</v>
      </c>
      <c r="N92">
        <v>109</v>
      </c>
      <c r="O92">
        <v>90.8</v>
      </c>
      <c r="P92">
        <v>89.8</v>
      </c>
      <c r="Q92">
        <v>84.8</v>
      </c>
      <c r="R92">
        <v>4.3</v>
      </c>
      <c r="S92">
        <v>8.5</v>
      </c>
      <c r="T92" t="s">
        <v>46</v>
      </c>
      <c r="U92">
        <v>2</v>
      </c>
      <c r="V92">
        <v>12</v>
      </c>
    </row>
    <row r="93" spans="1:22" x14ac:dyDescent="0.3">
      <c r="A93" t="s">
        <v>225</v>
      </c>
      <c r="B93" t="s">
        <v>226</v>
      </c>
      <c r="C93" t="s">
        <v>24</v>
      </c>
      <c r="D93" t="s">
        <v>49</v>
      </c>
      <c r="E93" t="s">
        <v>41</v>
      </c>
      <c r="F93" t="s">
        <v>42</v>
      </c>
      <c r="G93" t="s">
        <v>63</v>
      </c>
      <c r="H93" t="s">
        <v>29</v>
      </c>
      <c r="I93" t="s">
        <v>45</v>
      </c>
      <c r="J93">
        <v>97</v>
      </c>
      <c r="K93">
        <v>0</v>
      </c>
      <c r="L93">
        <v>6</v>
      </c>
      <c r="M93">
        <v>97</v>
      </c>
      <c r="N93">
        <v>93</v>
      </c>
      <c r="O93">
        <v>95.9</v>
      </c>
      <c r="P93">
        <v>93.9</v>
      </c>
      <c r="Q93">
        <v>101.9</v>
      </c>
      <c r="R93">
        <v>4.7</v>
      </c>
      <c r="S93">
        <v>8.1</v>
      </c>
      <c r="T93" t="s">
        <v>46</v>
      </c>
      <c r="U93">
        <v>2</v>
      </c>
      <c r="V93">
        <v>5</v>
      </c>
    </row>
    <row r="94" spans="1:22" x14ac:dyDescent="0.3">
      <c r="A94" t="s">
        <v>227</v>
      </c>
      <c r="B94" t="s">
        <v>228</v>
      </c>
      <c r="C94" t="s">
        <v>40</v>
      </c>
      <c r="D94" t="s">
        <v>25</v>
      </c>
      <c r="E94" t="s">
        <v>41</v>
      </c>
      <c r="F94" t="s">
        <v>72</v>
      </c>
      <c r="G94" t="s">
        <v>63</v>
      </c>
      <c r="H94" t="s">
        <v>56</v>
      </c>
      <c r="I94" t="s">
        <v>30</v>
      </c>
      <c r="J94">
        <v>99</v>
      </c>
      <c r="K94">
        <v>0</v>
      </c>
      <c r="L94">
        <v>11</v>
      </c>
      <c r="M94">
        <v>117</v>
      </c>
      <c r="N94">
        <v>114</v>
      </c>
      <c r="O94">
        <v>97.4</v>
      </c>
      <c r="P94">
        <v>96.4</v>
      </c>
      <c r="Q94">
        <v>92.4</v>
      </c>
      <c r="R94">
        <v>4.9000000000000004</v>
      </c>
      <c r="S94">
        <v>7.6</v>
      </c>
      <c r="T94" t="s">
        <v>31</v>
      </c>
      <c r="U94">
        <v>4</v>
      </c>
      <c r="V94">
        <v>3</v>
      </c>
    </row>
    <row r="95" spans="1:22" x14ac:dyDescent="0.3">
      <c r="A95" t="s">
        <v>229</v>
      </c>
      <c r="B95" t="s">
        <v>230</v>
      </c>
      <c r="C95" t="s">
        <v>40</v>
      </c>
      <c r="D95" t="s">
        <v>49</v>
      </c>
      <c r="E95" t="s">
        <v>34</v>
      </c>
      <c r="F95" t="s">
        <v>27</v>
      </c>
      <c r="G95" t="s">
        <v>43</v>
      </c>
      <c r="H95" t="s">
        <v>56</v>
      </c>
      <c r="I95" t="s">
        <v>73</v>
      </c>
      <c r="J95">
        <v>96</v>
      </c>
      <c r="K95">
        <v>1</v>
      </c>
      <c r="L95">
        <v>17</v>
      </c>
      <c r="M95">
        <v>90</v>
      </c>
      <c r="N95">
        <v>76</v>
      </c>
      <c r="O95">
        <v>84.4</v>
      </c>
      <c r="P95">
        <v>85.4</v>
      </c>
      <c r="Q95">
        <v>89.4</v>
      </c>
      <c r="R95">
        <v>4.0999999999999996</v>
      </c>
      <c r="S95">
        <v>9.1</v>
      </c>
      <c r="T95" t="s">
        <v>31</v>
      </c>
      <c r="U95">
        <v>6</v>
      </c>
      <c r="V95">
        <v>8</v>
      </c>
    </row>
    <row r="96" spans="1:22" x14ac:dyDescent="0.3">
      <c r="A96" t="s">
        <v>231</v>
      </c>
      <c r="B96" t="s">
        <v>232</v>
      </c>
      <c r="C96" t="s">
        <v>40</v>
      </c>
      <c r="D96" t="s">
        <v>25</v>
      </c>
      <c r="E96" t="s">
        <v>26</v>
      </c>
      <c r="F96" t="s">
        <v>72</v>
      </c>
      <c r="G96" t="s">
        <v>76</v>
      </c>
      <c r="H96" t="s">
        <v>29</v>
      </c>
      <c r="I96" t="s">
        <v>60</v>
      </c>
      <c r="J96">
        <v>87</v>
      </c>
      <c r="K96">
        <v>3</v>
      </c>
      <c r="L96">
        <v>14</v>
      </c>
      <c r="M96">
        <v>158</v>
      </c>
      <c r="N96">
        <v>140</v>
      </c>
      <c r="O96">
        <v>88.6</v>
      </c>
      <c r="P96">
        <v>87.6</v>
      </c>
      <c r="Q96">
        <v>93.6</v>
      </c>
      <c r="R96">
        <v>4</v>
      </c>
      <c r="S96">
        <v>8.5</v>
      </c>
      <c r="T96" t="s">
        <v>31</v>
      </c>
      <c r="U96">
        <v>4</v>
      </c>
      <c r="V96">
        <v>6</v>
      </c>
    </row>
    <row r="97" spans="1:22" x14ac:dyDescent="0.3">
      <c r="A97" t="s">
        <v>233</v>
      </c>
      <c r="B97" t="s">
        <v>234</v>
      </c>
      <c r="C97" t="s">
        <v>24</v>
      </c>
      <c r="D97" t="s">
        <v>49</v>
      </c>
      <c r="E97" t="s">
        <v>41</v>
      </c>
      <c r="F97" t="s">
        <v>91</v>
      </c>
      <c r="G97" t="s">
        <v>63</v>
      </c>
      <c r="H97" t="s">
        <v>56</v>
      </c>
      <c r="I97" t="s">
        <v>68</v>
      </c>
      <c r="J97">
        <v>91</v>
      </c>
      <c r="K97">
        <v>2</v>
      </c>
      <c r="L97">
        <v>1</v>
      </c>
      <c r="M97">
        <v>149</v>
      </c>
      <c r="N97">
        <v>132</v>
      </c>
      <c r="O97">
        <v>88.6</v>
      </c>
      <c r="P97">
        <v>91.6</v>
      </c>
      <c r="Q97">
        <v>96.6</v>
      </c>
      <c r="R97">
        <v>4.3</v>
      </c>
      <c r="S97">
        <v>8.1</v>
      </c>
      <c r="T97" t="s">
        <v>31</v>
      </c>
      <c r="U97">
        <v>7</v>
      </c>
      <c r="V97">
        <v>1</v>
      </c>
    </row>
    <row r="98" spans="1:22" x14ac:dyDescent="0.3">
      <c r="A98" t="s">
        <v>235</v>
      </c>
      <c r="B98" t="s">
        <v>164</v>
      </c>
      <c r="C98" t="s">
        <v>40</v>
      </c>
      <c r="D98" t="s">
        <v>49</v>
      </c>
      <c r="E98" t="s">
        <v>34</v>
      </c>
      <c r="F98" t="s">
        <v>27</v>
      </c>
      <c r="G98" t="s">
        <v>76</v>
      </c>
      <c r="H98" t="s">
        <v>56</v>
      </c>
      <c r="I98" t="s">
        <v>30</v>
      </c>
      <c r="J98">
        <v>83</v>
      </c>
      <c r="K98">
        <v>4</v>
      </c>
      <c r="L98">
        <v>21</v>
      </c>
      <c r="M98">
        <v>111</v>
      </c>
      <c r="N98">
        <v>104</v>
      </c>
      <c r="O98">
        <v>93.7</v>
      </c>
      <c r="P98">
        <v>95.7</v>
      </c>
      <c r="Q98">
        <v>89.7</v>
      </c>
      <c r="R98">
        <v>4.9000000000000004</v>
      </c>
      <c r="S98">
        <v>7.8</v>
      </c>
      <c r="T98" t="s">
        <v>46</v>
      </c>
      <c r="U98">
        <v>0</v>
      </c>
      <c r="V98">
        <v>0</v>
      </c>
    </row>
    <row r="99" spans="1:22" x14ac:dyDescent="0.3">
      <c r="A99" t="s">
        <v>236</v>
      </c>
      <c r="B99" t="s">
        <v>237</v>
      </c>
      <c r="C99" t="s">
        <v>40</v>
      </c>
      <c r="D99" t="s">
        <v>25</v>
      </c>
      <c r="E99" t="s">
        <v>67</v>
      </c>
      <c r="F99" t="s">
        <v>35</v>
      </c>
      <c r="G99" t="s">
        <v>28</v>
      </c>
      <c r="H99" t="s">
        <v>44</v>
      </c>
      <c r="I99" t="s">
        <v>64</v>
      </c>
      <c r="J99">
        <v>85</v>
      </c>
      <c r="K99">
        <v>3</v>
      </c>
      <c r="L99">
        <v>9</v>
      </c>
      <c r="M99">
        <v>116</v>
      </c>
      <c r="N99">
        <v>108</v>
      </c>
      <c r="O99">
        <v>93.1</v>
      </c>
      <c r="P99">
        <v>93.1</v>
      </c>
      <c r="Q99">
        <v>86.1</v>
      </c>
      <c r="R99">
        <v>4.7</v>
      </c>
      <c r="S99">
        <v>7.8</v>
      </c>
      <c r="T99" t="s">
        <v>46</v>
      </c>
      <c r="U99">
        <v>0</v>
      </c>
      <c r="V99">
        <v>10</v>
      </c>
    </row>
    <row r="100" spans="1:22" x14ac:dyDescent="0.3">
      <c r="A100" t="s">
        <v>238</v>
      </c>
      <c r="B100" t="s">
        <v>239</v>
      </c>
      <c r="C100" t="s">
        <v>40</v>
      </c>
      <c r="D100" t="s">
        <v>25</v>
      </c>
      <c r="E100" t="s">
        <v>67</v>
      </c>
      <c r="F100" t="s">
        <v>42</v>
      </c>
      <c r="G100" t="s">
        <v>43</v>
      </c>
      <c r="H100" t="s">
        <v>44</v>
      </c>
      <c r="I100" t="s">
        <v>64</v>
      </c>
      <c r="J100">
        <v>90</v>
      </c>
      <c r="K100">
        <v>2</v>
      </c>
      <c r="L100">
        <v>7</v>
      </c>
      <c r="M100">
        <v>93</v>
      </c>
      <c r="N100">
        <v>87</v>
      </c>
      <c r="O100">
        <v>93.5</v>
      </c>
      <c r="P100">
        <v>93.5</v>
      </c>
      <c r="Q100">
        <v>89.5</v>
      </c>
      <c r="R100">
        <v>4.7</v>
      </c>
      <c r="S100">
        <v>7.7</v>
      </c>
      <c r="T100" t="s">
        <v>31</v>
      </c>
      <c r="U100">
        <v>5</v>
      </c>
      <c r="V100">
        <v>10</v>
      </c>
    </row>
    <row r="101" spans="1:22" x14ac:dyDescent="0.3">
      <c r="A101" t="s">
        <v>240</v>
      </c>
      <c r="B101" t="s">
        <v>126</v>
      </c>
      <c r="C101" t="s">
        <v>24</v>
      </c>
      <c r="D101" t="s">
        <v>25</v>
      </c>
      <c r="E101" t="s">
        <v>50</v>
      </c>
      <c r="F101" t="s">
        <v>72</v>
      </c>
      <c r="G101" t="s">
        <v>43</v>
      </c>
      <c r="H101" t="s">
        <v>56</v>
      </c>
      <c r="I101" t="s">
        <v>73</v>
      </c>
      <c r="J101">
        <v>100</v>
      </c>
      <c r="K101">
        <v>0</v>
      </c>
      <c r="L101">
        <v>15</v>
      </c>
      <c r="M101">
        <v>135</v>
      </c>
      <c r="N101">
        <v>124</v>
      </c>
      <c r="O101">
        <v>91.9</v>
      </c>
      <c r="P101">
        <v>93.9</v>
      </c>
      <c r="Q101">
        <v>94.9</v>
      </c>
      <c r="R101">
        <v>4.5999999999999996</v>
      </c>
      <c r="S101">
        <v>7.9</v>
      </c>
      <c r="T101" t="s">
        <v>46</v>
      </c>
      <c r="U101">
        <v>0</v>
      </c>
      <c r="V101">
        <v>12</v>
      </c>
    </row>
    <row r="102" spans="1:22" x14ac:dyDescent="0.3">
      <c r="A102" t="s">
        <v>241</v>
      </c>
      <c r="B102" t="s">
        <v>66</v>
      </c>
      <c r="C102" t="s">
        <v>24</v>
      </c>
      <c r="D102" t="s">
        <v>25</v>
      </c>
      <c r="E102" t="s">
        <v>41</v>
      </c>
      <c r="F102" t="s">
        <v>91</v>
      </c>
      <c r="G102" t="s">
        <v>76</v>
      </c>
      <c r="H102" t="s">
        <v>44</v>
      </c>
      <c r="I102" t="s">
        <v>64</v>
      </c>
      <c r="J102">
        <v>96</v>
      </c>
      <c r="K102">
        <v>1</v>
      </c>
      <c r="L102">
        <v>6</v>
      </c>
      <c r="M102">
        <v>143</v>
      </c>
      <c r="N102">
        <v>122</v>
      </c>
      <c r="O102">
        <v>85.3</v>
      </c>
      <c r="P102">
        <v>85.3</v>
      </c>
      <c r="Q102">
        <v>82.3</v>
      </c>
      <c r="R102">
        <v>4</v>
      </c>
      <c r="S102">
        <v>8.9</v>
      </c>
      <c r="T102" t="s">
        <v>31</v>
      </c>
      <c r="U102">
        <v>4</v>
      </c>
      <c r="V102">
        <v>12</v>
      </c>
    </row>
    <row r="103" spans="1:22" x14ac:dyDescent="0.3">
      <c r="A103" t="s">
        <v>242</v>
      </c>
      <c r="B103" t="s">
        <v>243</v>
      </c>
      <c r="C103" t="s">
        <v>24</v>
      </c>
      <c r="D103" t="s">
        <v>25</v>
      </c>
      <c r="E103" t="s">
        <v>34</v>
      </c>
      <c r="F103" t="s">
        <v>72</v>
      </c>
      <c r="G103" t="s">
        <v>36</v>
      </c>
      <c r="H103" t="s">
        <v>56</v>
      </c>
      <c r="I103" t="s">
        <v>45</v>
      </c>
      <c r="J103">
        <v>82</v>
      </c>
      <c r="K103">
        <v>4</v>
      </c>
      <c r="L103">
        <v>22</v>
      </c>
      <c r="M103">
        <v>153</v>
      </c>
      <c r="N103">
        <v>153</v>
      </c>
      <c r="O103">
        <v>100</v>
      </c>
      <c r="P103">
        <v>99</v>
      </c>
      <c r="Q103">
        <v>99</v>
      </c>
      <c r="R103">
        <v>5</v>
      </c>
      <c r="S103">
        <v>7.2</v>
      </c>
      <c r="T103" t="s">
        <v>46</v>
      </c>
      <c r="U103">
        <v>0</v>
      </c>
      <c r="V103">
        <v>3</v>
      </c>
    </row>
    <row r="104" spans="1:22" x14ac:dyDescent="0.3">
      <c r="A104" t="s">
        <v>244</v>
      </c>
      <c r="B104" t="s">
        <v>147</v>
      </c>
      <c r="C104" t="s">
        <v>24</v>
      </c>
      <c r="D104" t="s">
        <v>49</v>
      </c>
      <c r="E104" t="s">
        <v>71</v>
      </c>
      <c r="F104" t="s">
        <v>54</v>
      </c>
      <c r="G104" t="s">
        <v>43</v>
      </c>
      <c r="H104" t="s">
        <v>44</v>
      </c>
      <c r="I104" t="s">
        <v>82</v>
      </c>
      <c r="J104">
        <v>99</v>
      </c>
      <c r="K104">
        <v>0</v>
      </c>
      <c r="L104">
        <v>21</v>
      </c>
      <c r="M104">
        <v>160</v>
      </c>
      <c r="N104">
        <v>151</v>
      </c>
      <c r="O104">
        <v>94.4</v>
      </c>
      <c r="P104">
        <v>97.4</v>
      </c>
      <c r="Q104">
        <v>87.4</v>
      </c>
      <c r="R104">
        <v>5</v>
      </c>
      <c r="S104">
        <v>8.1</v>
      </c>
      <c r="T104" t="s">
        <v>46</v>
      </c>
      <c r="U104">
        <v>2</v>
      </c>
      <c r="V104">
        <v>7</v>
      </c>
    </row>
    <row r="105" spans="1:22" x14ac:dyDescent="0.3">
      <c r="A105" t="s">
        <v>245</v>
      </c>
      <c r="B105" t="s">
        <v>246</v>
      </c>
      <c r="C105" t="s">
        <v>24</v>
      </c>
      <c r="D105" t="s">
        <v>25</v>
      </c>
      <c r="E105" t="s">
        <v>67</v>
      </c>
      <c r="F105" t="s">
        <v>27</v>
      </c>
      <c r="G105" t="s">
        <v>43</v>
      </c>
      <c r="H105" t="s">
        <v>29</v>
      </c>
      <c r="I105" t="s">
        <v>30</v>
      </c>
      <c r="J105">
        <v>89</v>
      </c>
      <c r="K105">
        <v>2</v>
      </c>
      <c r="L105">
        <v>3</v>
      </c>
      <c r="M105">
        <v>109</v>
      </c>
      <c r="N105">
        <v>91</v>
      </c>
      <c r="O105">
        <v>83.5</v>
      </c>
      <c r="P105">
        <v>83.5</v>
      </c>
      <c r="Q105">
        <v>76.5</v>
      </c>
      <c r="R105">
        <v>3.8</v>
      </c>
      <c r="S105">
        <v>8.9</v>
      </c>
      <c r="T105" t="s">
        <v>31</v>
      </c>
      <c r="U105">
        <v>4</v>
      </c>
      <c r="V105">
        <v>11</v>
      </c>
    </row>
    <row r="106" spans="1:22" x14ac:dyDescent="0.3">
      <c r="A106" t="s">
        <v>247</v>
      </c>
      <c r="B106" t="s">
        <v>248</v>
      </c>
      <c r="C106" t="s">
        <v>40</v>
      </c>
      <c r="D106" t="s">
        <v>49</v>
      </c>
      <c r="E106" t="s">
        <v>67</v>
      </c>
      <c r="F106" t="s">
        <v>27</v>
      </c>
      <c r="G106" t="s">
        <v>63</v>
      </c>
      <c r="H106" t="s">
        <v>44</v>
      </c>
      <c r="I106" t="s">
        <v>73</v>
      </c>
      <c r="J106">
        <v>83</v>
      </c>
      <c r="K106">
        <v>4</v>
      </c>
      <c r="L106">
        <v>25</v>
      </c>
      <c r="M106">
        <v>116</v>
      </c>
      <c r="N106">
        <v>108</v>
      </c>
      <c r="O106">
        <v>93.1</v>
      </c>
      <c r="P106">
        <v>91.1</v>
      </c>
      <c r="Q106">
        <v>96.1</v>
      </c>
      <c r="R106">
        <v>4.4000000000000004</v>
      </c>
      <c r="S106">
        <v>7.8</v>
      </c>
      <c r="T106" t="s">
        <v>46</v>
      </c>
      <c r="U106">
        <v>0</v>
      </c>
      <c r="V106">
        <v>6</v>
      </c>
    </row>
    <row r="107" spans="1:22" x14ac:dyDescent="0.3">
      <c r="A107" t="s">
        <v>249</v>
      </c>
      <c r="B107" t="s">
        <v>250</v>
      </c>
      <c r="C107" t="s">
        <v>24</v>
      </c>
      <c r="D107" t="s">
        <v>25</v>
      </c>
      <c r="E107" t="s">
        <v>41</v>
      </c>
      <c r="F107" t="s">
        <v>35</v>
      </c>
      <c r="G107" t="s">
        <v>28</v>
      </c>
      <c r="H107" t="s">
        <v>29</v>
      </c>
      <c r="I107" t="s">
        <v>57</v>
      </c>
      <c r="J107">
        <v>96</v>
      </c>
      <c r="K107">
        <v>1</v>
      </c>
      <c r="L107">
        <v>3</v>
      </c>
      <c r="M107">
        <v>117</v>
      </c>
      <c r="N107">
        <v>107</v>
      </c>
      <c r="O107">
        <v>91.5</v>
      </c>
      <c r="P107">
        <v>90.5</v>
      </c>
      <c r="Q107">
        <v>84.5</v>
      </c>
      <c r="R107">
        <v>4.3</v>
      </c>
      <c r="S107">
        <v>7.9</v>
      </c>
      <c r="T107" t="s">
        <v>31</v>
      </c>
      <c r="U107">
        <v>3</v>
      </c>
      <c r="V107">
        <v>1</v>
      </c>
    </row>
    <row r="108" spans="1:22" x14ac:dyDescent="0.3">
      <c r="A108" t="s">
        <v>251</v>
      </c>
      <c r="B108" t="s">
        <v>252</v>
      </c>
      <c r="C108" t="s">
        <v>40</v>
      </c>
      <c r="D108" t="s">
        <v>49</v>
      </c>
      <c r="E108" t="s">
        <v>50</v>
      </c>
      <c r="F108" t="s">
        <v>27</v>
      </c>
      <c r="G108" t="s">
        <v>36</v>
      </c>
      <c r="H108" t="s">
        <v>29</v>
      </c>
      <c r="I108" t="s">
        <v>57</v>
      </c>
      <c r="J108">
        <v>86</v>
      </c>
      <c r="K108">
        <v>3</v>
      </c>
      <c r="L108">
        <v>16</v>
      </c>
      <c r="M108">
        <v>170</v>
      </c>
      <c r="N108">
        <v>163</v>
      </c>
      <c r="O108">
        <v>95.9</v>
      </c>
      <c r="P108">
        <v>98.9</v>
      </c>
      <c r="Q108">
        <v>92.9</v>
      </c>
      <c r="R108">
        <v>5</v>
      </c>
      <c r="S108">
        <v>8.1999999999999993</v>
      </c>
      <c r="T108" t="s">
        <v>46</v>
      </c>
      <c r="U108">
        <v>0</v>
      </c>
      <c r="V108">
        <v>8</v>
      </c>
    </row>
    <row r="109" spans="1:22" x14ac:dyDescent="0.3">
      <c r="A109" t="s">
        <v>253</v>
      </c>
      <c r="B109" t="s">
        <v>221</v>
      </c>
      <c r="C109" t="s">
        <v>24</v>
      </c>
      <c r="D109" t="s">
        <v>25</v>
      </c>
      <c r="E109" t="s">
        <v>26</v>
      </c>
      <c r="F109" t="s">
        <v>72</v>
      </c>
      <c r="G109" t="s">
        <v>43</v>
      </c>
      <c r="H109" t="s">
        <v>29</v>
      </c>
      <c r="I109" t="s">
        <v>73</v>
      </c>
      <c r="J109">
        <v>88</v>
      </c>
      <c r="K109">
        <v>3</v>
      </c>
      <c r="L109">
        <v>19</v>
      </c>
      <c r="M109">
        <v>171</v>
      </c>
      <c r="N109">
        <v>146</v>
      </c>
      <c r="O109">
        <v>85.4</v>
      </c>
      <c r="P109">
        <v>88.4</v>
      </c>
      <c r="Q109">
        <v>83.4</v>
      </c>
      <c r="R109">
        <v>4.2</v>
      </c>
      <c r="S109">
        <v>8.1999999999999993</v>
      </c>
      <c r="T109" t="s">
        <v>31</v>
      </c>
      <c r="U109">
        <v>4</v>
      </c>
      <c r="V109">
        <v>3</v>
      </c>
    </row>
    <row r="110" spans="1:22" x14ac:dyDescent="0.3">
      <c r="A110" t="s">
        <v>254</v>
      </c>
      <c r="B110" t="s">
        <v>145</v>
      </c>
      <c r="C110" t="s">
        <v>40</v>
      </c>
      <c r="D110" t="s">
        <v>25</v>
      </c>
      <c r="E110" t="s">
        <v>67</v>
      </c>
      <c r="F110" t="s">
        <v>91</v>
      </c>
      <c r="G110" t="s">
        <v>76</v>
      </c>
      <c r="H110" t="s">
        <v>56</v>
      </c>
      <c r="I110" t="s">
        <v>30</v>
      </c>
      <c r="J110">
        <v>84</v>
      </c>
      <c r="K110">
        <v>4</v>
      </c>
      <c r="L110">
        <v>3</v>
      </c>
      <c r="M110">
        <v>110</v>
      </c>
      <c r="N110">
        <v>106</v>
      </c>
      <c r="O110">
        <v>96.4</v>
      </c>
      <c r="P110">
        <v>94.4</v>
      </c>
      <c r="Q110">
        <v>102.4</v>
      </c>
      <c r="R110">
        <v>4.5999999999999996</v>
      </c>
      <c r="S110">
        <v>7.6</v>
      </c>
      <c r="T110" t="s">
        <v>46</v>
      </c>
      <c r="U110">
        <v>2</v>
      </c>
      <c r="V110">
        <v>8</v>
      </c>
    </row>
    <row r="111" spans="1:22" x14ac:dyDescent="0.3">
      <c r="A111" t="s">
        <v>255</v>
      </c>
      <c r="B111" t="s">
        <v>256</v>
      </c>
      <c r="C111" t="s">
        <v>24</v>
      </c>
      <c r="D111" t="s">
        <v>25</v>
      </c>
      <c r="E111" t="s">
        <v>26</v>
      </c>
      <c r="F111" t="s">
        <v>27</v>
      </c>
      <c r="G111" t="s">
        <v>28</v>
      </c>
      <c r="H111" t="s">
        <v>44</v>
      </c>
      <c r="I111" t="s">
        <v>37</v>
      </c>
      <c r="J111">
        <v>96</v>
      </c>
      <c r="K111">
        <v>1</v>
      </c>
      <c r="L111">
        <v>19</v>
      </c>
      <c r="M111">
        <v>102</v>
      </c>
      <c r="N111">
        <v>98</v>
      </c>
      <c r="O111">
        <v>96.1</v>
      </c>
      <c r="P111">
        <v>92.1</v>
      </c>
      <c r="Q111">
        <v>90.1</v>
      </c>
      <c r="R111">
        <v>4.5</v>
      </c>
      <c r="S111">
        <v>7.7</v>
      </c>
      <c r="T111" t="s">
        <v>46</v>
      </c>
      <c r="U111">
        <v>1</v>
      </c>
      <c r="V111">
        <v>6</v>
      </c>
    </row>
    <row r="112" spans="1:22" x14ac:dyDescent="0.3">
      <c r="A112" t="s">
        <v>257</v>
      </c>
      <c r="B112" t="s">
        <v>258</v>
      </c>
      <c r="C112" t="s">
        <v>40</v>
      </c>
      <c r="D112" t="s">
        <v>25</v>
      </c>
      <c r="E112" t="s">
        <v>26</v>
      </c>
      <c r="F112" t="s">
        <v>35</v>
      </c>
      <c r="G112" t="s">
        <v>55</v>
      </c>
      <c r="H112" t="s">
        <v>44</v>
      </c>
      <c r="I112" t="s">
        <v>68</v>
      </c>
      <c r="J112">
        <v>91</v>
      </c>
      <c r="K112">
        <v>2</v>
      </c>
      <c r="L112">
        <v>1</v>
      </c>
      <c r="M112">
        <v>143</v>
      </c>
      <c r="N112">
        <v>126</v>
      </c>
      <c r="O112">
        <v>88.1</v>
      </c>
      <c r="P112">
        <v>90.1</v>
      </c>
      <c r="Q112">
        <v>93.1</v>
      </c>
      <c r="R112">
        <v>4.4000000000000004</v>
      </c>
      <c r="S112">
        <v>8.5</v>
      </c>
      <c r="T112" t="s">
        <v>31</v>
      </c>
      <c r="U112">
        <v>7</v>
      </c>
      <c r="V112">
        <v>7</v>
      </c>
    </row>
    <row r="113" spans="1:22" x14ac:dyDescent="0.3">
      <c r="A113" t="s">
        <v>259</v>
      </c>
      <c r="B113" t="s">
        <v>260</v>
      </c>
      <c r="C113" t="s">
        <v>40</v>
      </c>
      <c r="D113" t="s">
        <v>49</v>
      </c>
      <c r="E113" t="s">
        <v>34</v>
      </c>
      <c r="F113" t="s">
        <v>91</v>
      </c>
      <c r="G113" t="s">
        <v>28</v>
      </c>
      <c r="H113" t="s">
        <v>56</v>
      </c>
      <c r="I113" t="s">
        <v>30</v>
      </c>
      <c r="J113">
        <v>98</v>
      </c>
      <c r="K113">
        <v>0</v>
      </c>
      <c r="L113">
        <v>7</v>
      </c>
      <c r="M113">
        <v>113</v>
      </c>
      <c r="N113">
        <v>99</v>
      </c>
      <c r="O113">
        <v>87.6</v>
      </c>
      <c r="P113">
        <v>86.6</v>
      </c>
      <c r="Q113">
        <v>90.6</v>
      </c>
      <c r="R113">
        <v>4.2</v>
      </c>
      <c r="S113">
        <v>8.6</v>
      </c>
      <c r="T113" t="s">
        <v>31</v>
      </c>
      <c r="U113">
        <v>4</v>
      </c>
      <c r="V113">
        <v>0</v>
      </c>
    </row>
    <row r="114" spans="1:22" x14ac:dyDescent="0.3">
      <c r="A114" t="s">
        <v>261</v>
      </c>
      <c r="B114" t="s">
        <v>215</v>
      </c>
      <c r="C114" t="s">
        <v>24</v>
      </c>
      <c r="D114" t="s">
        <v>49</v>
      </c>
      <c r="E114" t="s">
        <v>71</v>
      </c>
      <c r="F114" t="s">
        <v>54</v>
      </c>
      <c r="G114" t="s">
        <v>63</v>
      </c>
      <c r="H114" t="s">
        <v>44</v>
      </c>
      <c r="I114" t="s">
        <v>51</v>
      </c>
      <c r="J114">
        <v>82</v>
      </c>
      <c r="K114">
        <v>4</v>
      </c>
      <c r="L114">
        <v>24</v>
      </c>
      <c r="M114">
        <v>111</v>
      </c>
      <c r="N114">
        <v>101</v>
      </c>
      <c r="O114">
        <v>91</v>
      </c>
      <c r="P114">
        <v>90</v>
      </c>
      <c r="Q114">
        <v>95</v>
      </c>
      <c r="R114">
        <v>4.4000000000000004</v>
      </c>
      <c r="S114">
        <v>7.6</v>
      </c>
      <c r="T114" t="s">
        <v>46</v>
      </c>
      <c r="U114">
        <v>1</v>
      </c>
      <c r="V114">
        <v>10</v>
      </c>
    </row>
    <row r="115" spans="1:22" x14ac:dyDescent="0.3">
      <c r="A115" t="s">
        <v>262</v>
      </c>
      <c r="B115" t="s">
        <v>164</v>
      </c>
      <c r="C115" t="s">
        <v>24</v>
      </c>
      <c r="D115" t="s">
        <v>49</v>
      </c>
      <c r="E115" t="s">
        <v>41</v>
      </c>
      <c r="F115" t="s">
        <v>27</v>
      </c>
      <c r="G115" t="s">
        <v>36</v>
      </c>
      <c r="H115" t="s">
        <v>56</v>
      </c>
      <c r="I115" t="s">
        <v>37</v>
      </c>
      <c r="J115">
        <v>100</v>
      </c>
      <c r="K115">
        <v>0</v>
      </c>
      <c r="L115">
        <v>23</v>
      </c>
      <c r="M115">
        <v>160</v>
      </c>
      <c r="N115">
        <v>153</v>
      </c>
      <c r="O115">
        <v>95.6</v>
      </c>
      <c r="P115">
        <v>92.6</v>
      </c>
      <c r="Q115">
        <v>88.6</v>
      </c>
      <c r="R115">
        <v>4.5</v>
      </c>
      <c r="S115">
        <v>7.2</v>
      </c>
      <c r="T115" t="s">
        <v>46</v>
      </c>
      <c r="U115">
        <v>2</v>
      </c>
      <c r="V115">
        <v>3</v>
      </c>
    </row>
    <row r="116" spans="1:22" x14ac:dyDescent="0.3">
      <c r="A116" t="s">
        <v>263</v>
      </c>
      <c r="B116" t="s">
        <v>264</v>
      </c>
      <c r="C116" t="s">
        <v>40</v>
      </c>
      <c r="D116" t="s">
        <v>25</v>
      </c>
      <c r="E116" t="s">
        <v>50</v>
      </c>
      <c r="F116" t="s">
        <v>35</v>
      </c>
      <c r="G116" t="s">
        <v>28</v>
      </c>
      <c r="H116" t="s">
        <v>29</v>
      </c>
      <c r="I116" t="s">
        <v>37</v>
      </c>
      <c r="J116">
        <v>99</v>
      </c>
      <c r="K116">
        <v>0</v>
      </c>
      <c r="L116">
        <v>1</v>
      </c>
      <c r="M116">
        <v>153</v>
      </c>
      <c r="N116">
        <v>129</v>
      </c>
      <c r="O116">
        <v>84.3</v>
      </c>
      <c r="P116">
        <v>87.3</v>
      </c>
      <c r="Q116">
        <v>76.3</v>
      </c>
      <c r="R116">
        <v>4</v>
      </c>
      <c r="S116">
        <v>8.4</v>
      </c>
      <c r="T116" t="s">
        <v>31</v>
      </c>
      <c r="U116">
        <v>7</v>
      </c>
      <c r="V116">
        <v>6</v>
      </c>
    </row>
    <row r="117" spans="1:22" x14ac:dyDescent="0.3">
      <c r="A117" t="s">
        <v>265</v>
      </c>
      <c r="B117" t="s">
        <v>258</v>
      </c>
      <c r="C117" t="s">
        <v>40</v>
      </c>
      <c r="D117" t="s">
        <v>25</v>
      </c>
      <c r="E117" t="s">
        <v>50</v>
      </c>
      <c r="F117" t="s">
        <v>35</v>
      </c>
      <c r="G117" t="s">
        <v>55</v>
      </c>
      <c r="H117" t="s">
        <v>56</v>
      </c>
      <c r="I117" t="s">
        <v>79</v>
      </c>
      <c r="J117">
        <v>97</v>
      </c>
      <c r="K117">
        <v>0</v>
      </c>
      <c r="L117">
        <v>8</v>
      </c>
      <c r="M117">
        <v>99</v>
      </c>
      <c r="N117">
        <v>90</v>
      </c>
      <c r="O117">
        <v>90.9</v>
      </c>
      <c r="P117">
        <v>89.9</v>
      </c>
      <c r="Q117">
        <v>98.9</v>
      </c>
      <c r="R117">
        <v>4.5</v>
      </c>
      <c r="S117">
        <v>8</v>
      </c>
      <c r="T117" t="s">
        <v>31</v>
      </c>
      <c r="U117">
        <v>5</v>
      </c>
      <c r="V117">
        <v>1</v>
      </c>
    </row>
    <row r="118" spans="1:22" x14ac:dyDescent="0.3">
      <c r="A118" t="s">
        <v>266</v>
      </c>
      <c r="B118" t="s">
        <v>62</v>
      </c>
      <c r="C118" t="s">
        <v>40</v>
      </c>
      <c r="D118" t="s">
        <v>49</v>
      </c>
      <c r="E118" t="s">
        <v>67</v>
      </c>
      <c r="F118" t="s">
        <v>35</v>
      </c>
      <c r="G118" t="s">
        <v>63</v>
      </c>
      <c r="H118" t="s">
        <v>29</v>
      </c>
      <c r="I118" t="s">
        <v>82</v>
      </c>
      <c r="J118">
        <v>99</v>
      </c>
      <c r="K118">
        <v>0</v>
      </c>
      <c r="L118">
        <v>12</v>
      </c>
      <c r="M118">
        <v>101</v>
      </c>
      <c r="N118">
        <v>87</v>
      </c>
      <c r="O118">
        <v>86.1</v>
      </c>
      <c r="P118">
        <v>86.1</v>
      </c>
      <c r="Q118">
        <v>92.1</v>
      </c>
      <c r="R118">
        <v>4</v>
      </c>
      <c r="S118">
        <v>8.3000000000000007</v>
      </c>
      <c r="T118" t="s">
        <v>31</v>
      </c>
      <c r="U118">
        <v>6</v>
      </c>
      <c r="V118">
        <v>8</v>
      </c>
    </row>
    <row r="119" spans="1:22" x14ac:dyDescent="0.3">
      <c r="A119" t="s">
        <v>267</v>
      </c>
      <c r="B119" t="s">
        <v>152</v>
      </c>
      <c r="C119" t="s">
        <v>24</v>
      </c>
      <c r="D119" t="s">
        <v>25</v>
      </c>
      <c r="E119" t="s">
        <v>41</v>
      </c>
      <c r="F119" t="s">
        <v>27</v>
      </c>
      <c r="G119" t="s">
        <v>43</v>
      </c>
      <c r="H119" t="s">
        <v>29</v>
      </c>
      <c r="I119" t="s">
        <v>30</v>
      </c>
      <c r="J119">
        <v>83</v>
      </c>
      <c r="K119">
        <v>4</v>
      </c>
      <c r="L119">
        <v>12</v>
      </c>
      <c r="M119">
        <v>98</v>
      </c>
      <c r="N119">
        <v>83</v>
      </c>
      <c r="O119">
        <v>84.7</v>
      </c>
      <c r="P119">
        <v>84.7</v>
      </c>
      <c r="Q119">
        <v>81.7</v>
      </c>
      <c r="R119">
        <v>3.9</v>
      </c>
      <c r="S119">
        <v>8.6999999999999993</v>
      </c>
      <c r="T119" t="s">
        <v>31</v>
      </c>
      <c r="U119">
        <v>7</v>
      </c>
      <c r="V119">
        <v>5</v>
      </c>
    </row>
    <row r="120" spans="1:22" x14ac:dyDescent="0.3">
      <c r="A120" t="s">
        <v>268</v>
      </c>
      <c r="B120" t="s">
        <v>269</v>
      </c>
      <c r="C120" t="s">
        <v>24</v>
      </c>
      <c r="D120" t="s">
        <v>25</v>
      </c>
      <c r="E120" t="s">
        <v>67</v>
      </c>
      <c r="F120" t="s">
        <v>35</v>
      </c>
      <c r="G120" t="s">
        <v>28</v>
      </c>
      <c r="H120" t="s">
        <v>29</v>
      </c>
      <c r="I120" t="s">
        <v>73</v>
      </c>
      <c r="J120">
        <v>98</v>
      </c>
      <c r="K120">
        <v>0</v>
      </c>
      <c r="L120">
        <v>14</v>
      </c>
      <c r="M120">
        <v>117</v>
      </c>
      <c r="N120">
        <v>112</v>
      </c>
      <c r="O120">
        <v>95.7</v>
      </c>
      <c r="P120">
        <v>96.7</v>
      </c>
      <c r="Q120">
        <v>87.7</v>
      </c>
      <c r="R120">
        <v>4.7</v>
      </c>
      <c r="S120">
        <v>7.3</v>
      </c>
      <c r="T120" t="s">
        <v>46</v>
      </c>
      <c r="U120">
        <v>0</v>
      </c>
      <c r="V120">
        <v>2</v>
      </c>
    </row>
    <row r="121" spans="1:22" x14ac:dyDescent="0.3">
      <c r="A121" t="s">
        <v>270</v>
      </c>
      <c r="B121" t="s">
        <v>271</v>
      </c>
      <c r="C121" t="s">
        <v>24</v>
      </c>
      <c r="D121" t="s">
        <v>25</v>
      </c>
      <c r="E121" t="s">
        <v>34</v>
      </c>
      <c r="F121" t="s">
        <v>35</v>
      </c>
      <c r="G121" t="s">
        <v>55</v>
      </c>
      <c r="H121" t="s">
        <v>56</v>
      </c>
      <c r="I121" t="s">
        <v>73</v>
      </c>
      <c r="J121">
        <v>100</v>
      </c>
      <c r="K121">
        <v>0</v>
      </c>
      <c r="L121">
        <v>25</v>
      </c>
      <c r="M121">
        <v>123</v>
      </c>
      <c r="N121">
        <v>123</v>
      </c>
      <c r="O121">
        <v>100</v>
      </c>
      <c r="P121">
        <v>98</v>
      </c>
      <c r="Q121">
        <v>94</v>
      </c>
      <c r="R121">
        <v>5</v>
      </c>
      <c r="S121">
        <v>6.9</v>
      </c>
      <c r="T121" t="s">
        <v>31</v>
      </c>
      <c r="U121">
        <v>3</v>
      </c>
      <c r="V121">
        <v>7</v>
      </c>
    </row>
    <row r="122" spans="1:22" x14ac:dyDescent="0.3">
      <c r="A122" t="s">
        <v>272</v>
      </c>
      <c r="B122" t="s">
        <v>273</v>
      </c>
      <c r="C122" t="s">
        <v>24</v>
      </c>
      <c r="D122" t="s">
        <v>25</v>
      </c>
      <c r="E122" t="s">
        <v>50</v>
      </c>
      <c r="F122" t="s">
        <v>54</v>
      </c>
      <c r="G122" t="s">
        <v>43</v>
      </c>
      <c r="H122" t="s">
        <v>56</v>
      </c>
      <c r="I122" t="s">
        <v>79</v>
      </c>
      <c r="J122">
        <v>82</v>
      </c>
      <c r="K122">
        <v>4</v>
      </c>
      <c r="L122">
        <v>3</v>
      </c>
      <c r="M122">
        <v>90</v>
      </c>
      <c r="N122">
        <v>84</v>
      </c>
      <c r="O122">
        <v>93.3</v>
      </c>
      <c r="P122">
        <v>91.3</v>
      </c>
      <c r="Q122">
        <v>97.3</v>
      </c>
      <c r="R122">
        <v>4.5999999999999996</v>
      </c>
      <c r="S122">
        <v>8.1999999999999993</v>
      </c>
      <c r="T122" t="s">
        <v>46</v>
      </c>
      <c r="U122">
        <v>1</v>
      </c>
      <c r="V122">
        <v>9</v>
      </c>
    </row>
    <row r="123" spans="1:22" x14ac:dyDescent="0.3">
      <c r="A123" t="s">
        <v>274</v>
      </c>
      <c r="B123" t="s">
        <v>275</v>
      </c>
      <c r="C123" t="s">
        <v>40</v>
      </c>
      <c r="D123" t="s">
        <v>25</v>
      </c>
      <c r="E123" t="s">
        <v>71</v>
      </c>
      <c r="F123" t="s">
        <v>35</v>
      </c>
      <c r="G123" t="s">
        <v>28</v>
      </c>
      <c r="H123" t="s">
        <v>29</v>
      </c>
      <c r="I123" t="s">
        <v>82</v>
      </c>
      <c r="J123">
        <v>98</v>
      </c>
      <c r="K123">
        <v>0</v>
      </c>
      <c r="L123">
        <v>0</v>
      </c>
      <c r="M123">
        <v>165</v>
      </c>
      <c r="N123">
        <v>162</v>
      </c>
      <c r="O123">
        <v>98.2</v>
      </c>
      <c r="P123">
        <v>97.2</v>
      </c>
      <c r="Q123">
        <v>102.2</v>
      </c>
      <c r="R123">
        <v>4.9000000000000004</v>
      </c>
      <c r="S123">
        <v>7.5</v>
      </c>
      <c r="T123" t="s">
        <v>46</v>
      </c>
      <c r="U123">
        <v>0</v>
      </c>
      <c r="V123">
        <v>5</v>
      </c>
    </row>
    <row r="124" spans="1:22" x14ac:dyDescent="0.3">
      <c r="A124" t="s">
        <v>276</v>
      </c>
      <c r="B124" t="s">
        <v>277</v>
      </c>
      <c r="C124" t="s">
        <v>24</v>
      </c>
      <c r="D124" t="s">
        <v>25</v>
      </c>
      <c r="E124" t="s">
        <v>41</v>
      </c>
      <c r="F124" t="s">
        <v>35</v>
      </c>
      <c r="G124" t="s">
        <v>63</v>
      </c>
      <c r="H124" t="s">
        <v>56</v>
      </c>
      <c r="I124" t="s">
        <v>51</v>
      </c>
      <c r="J124">
        <v>86</v>
      </c>
      <c r="K124">
        <v>3</v>
      </c>
      <c r="L124">
        <v>12</v>
      </c>
      <c r="M124">
        <v>162</v>
      </c>
      <c r="N124">
        <v>158</v>
      </c>
      <c r="O124">
        <v>97.5</v>
      </c>
      <c r="P124">
        <v>97.5</v>
      </c>
      <c r="Q124">
        <v>105.5</v>
      </c>
      <c r="R124">
        <v>4.9000000000000004</v>
      </c>
      <c r="S124">
        <v>7.4</v>
      </c>
      <c r="T124" t="s">
        <v>46</v>
      </c>
      <c r="U124">
        <v>2</v>
      </c>
      <c r="V124">
        <v>7</v>
      </c>
    </row>
    <row r="125" spans="1:22" x14ac:dyDescent="0.3">
      <c r="A125" t="s">
        <v>278</v>
      </c>
      <c r="B125" t="s">
        <v>210</v>
      </c>
      <c r="C125" t="s">
        <v>40</v>
      </c>
      <c r="D125" t="s">
        <v>49</v>
      </c>
      <c r="E125" t="s">
        <v>50</v>
      </c>
      <c r="F125" t="s">
        <v>54</v>
      </c>
      <c r="G125" t="s">
        <v>36</v>
      </c>
      <c r="H125" t="s">
        <v>56</v>
      </c>
      <c r="I125" t="s">
        <v>92</v>
      </c>
      <c r="J125">
        <v>86</v>
      </c>
      <c r="K125">
        <v>3</v>
      </c>
      <c r="L125">
        <v>12</v>
      </c>
      <c r="M125">
        <v>91</v>
      </c>
      <c r="N125">
        <v>75</v>
      </c>
      <c r="O125">
        <v>82.4</v>
      </c>
      <c r="P125">
        <v>84.4</v>
      </c>
      <c r="Q125">
        <v>80.400000000000006</v>
      </c>
      <c r="R125">
        <v>4</v>
      </c>
      <c r="S125">
        <v>9.3000000000000007</v>
      </c>
      <c r="T125" t="s">
        <v>31</v>
      </c>
      <c r="U125">
        <v>4</v>
      </c>
      <c r="V125">
        <v>11</v>
      </c>
    </row>
    <row r="126" spans="1:22" x14ac:dyDescent="0.3">
      <c r="A126" t="s">
        <v>279</v>
      </c>
      <c r="B126" t="s">
        <v>280</v>
      </c>
      <c r="C126" t="s">
        <v>40</v>
      </c>
      <c r="D126" t="s">
        <v>25</v>
      </c>
      <c r="E126" t="s">
        <v>34</v>
      </c>
      <c r="F126" t="s">
        <v>72</v>
      </c>
      <c r="G126" t="s">
        <v>36</v>
      </c>
      <c r="H126" t="s">
        <v>44</v>
      </c>
      <c r="I126" t="s">
        <v>30</v>
      </c>
      <c r="J126">
        <v>95</v>
      </c>
      <c r="K126">
        <v>1</v>
      </c>
      <c r="L126">
        <v>13</v>
      </c>
      <c r="M126">
        <v>180</v>
      </c>
      <c r="N126">
        <v>163</v>
      </c>
      <c r="O126">
        <v>90.6</v>
      </c>
      <c r="P126">
        <v>93.6</v>
      </c>
      <c r="Q126">
        <v>83.6</v>
      </c>
      <c r="R126">
        <v>4.5999999999999996</v>
      </c>
      <c r="S126">
        <v>8.3000000000000007</v>
      </c>
      <c r="T126" t="s">
        <v>46</v>
      </c>
      <c r="U126">
        <v>0</v>
      </c>
      <c r="V126">
        <v>0</v>
      </c>
    </row>
    <row r="127" spans="1:22" x14ac:dyDescent="0.3">
      <c r="A127" t="s">
        <v>281</v>
      </c>
      <c r="B127" t="s">
        <v>169</v>
      </c>
      <c r="C127" t="s">
        <v>24</v>
      </c>
      <c r="D127" t="s">
        <v>49</v>
      </c>
      <c r="E127" t="s">
        <v>41</v>
      </c>
      <c r="F127" t="s">
        <v>72</v>
      </c>
      <c r="G127" t="s">
        <v>28</v>
      </c>
      <c r="H127" t="s">
        <v>56</v>
      </c>
      <c r="I127" t="s">
        <v>68</v>
      </c>
      <c r="J127">
        <v>100</v>
      </c>
      <c r="K127">
        <v>0</v>
      </c>
      <c r="L127">
        <v>18</v>
      </c>
      <c r="M127">
        <v>97</v>
      </c>
      <c r="N127">
        <v>86</v>
      </c>
      <c r="O127">
        <v>88.7</v>
      </c>
      <c r="P127">
        <v>88.7</v>
      </c>
      <c r="Q127">
        <v>80.7</v>
      </c>
      <c r="R127">
        <v>4.0999999999999996</v>
      </c>
      <c r="S127">
        <v>8.5</v>
      </c>
      <c r="T127" t="s">
        <v>31</v>
      </c>
      <c r="U127">
        <v>6</v>
      </c>
      <c r="V127">
        <v>8</v>
      </c>
    </row>
    <row r="128" spans="1:22" x14ac:dyDescent="0.3">
      <c r="A128" t="s">
        <v>282</v>
      </c>
      <c r="B128" t="s">
        <v>33</v>
      </c>
      <c r="C128" t="s">
        <v>40</v>
      </c>
      <c r="D128" t="s">
        <v>49</v>
      </c>
      <c r="E128" t="s">
        <v>34</v>
      </c>
      <c r="F128" t="s">
        <v>27</v>
      </c>
      <c r="G128" t="s">
        <v>55</v>
      </c>
      <c r="H128" t="s">
        <v>44</v>
      </c>
      <c r="I128" t="s">
        <v>73</v>
      </c>
      <c r="J128">
        <v>93</v>
      </c>
      <c r="K128">
        <v>1</v>
      </c>
      <c r="L128">
        <v>11</v>
      </c>
      <c r="M128">
        <v>179</v>
      </c>
      <c r="N128">
        <v>173</v>
      </c>
      <c r="O128">
        <v>96.6</v>
      </c>
      <c r="P128">
        <v>94.6</v>
      </c>
      <c r="Q128">
        <v>98.6</v>
      </c>
      <c r="R128">
        <v>4.7</v>
      </c>
      <c r="S128">
        <v>7.8</v>
      </c>
      <c r="T128" t="s">
        <v>46</v>
      </c>
      <c r="U128">
        <v>1</v>
      </c>
      <c r="V128">
        <v>7</v>
      </c>
    </row>
    <row r="129" spans="1:22" x14ac:dyDescent="0.3">
      <c r="A129" t="s">
        <v>283</v>
      </c>
      <c r="B129" t="s">
        <v>273</v>
      </c>
      <c r="C129" t="s">
        <v>40</v>
      </c>
      <c r="D129" t="s">
        <v>25</v>
      </c>
      <c r="E129" t="s">
        <v>34</v>
      </c>
      <c r="F129" t="s">
        <v>27</v>
      </c>
      <c r="G129" t="s">
        <v>43</v>
      </c>
      <c r="H129" t="s">
        <v>56</v>
      </c>
      <c r="I129" t="s">
        <v>79</v>
      </c>
      <c r="J129">
        <v>89</v>
      </c>
      <c r="K129">
        <v>2</v>
      </c>
      <c r="L129">
        <v>7</v>
      </c>
      <c r="M129">
        <v>126</v>
      </c>
      <c r="N129">
        <v>103</v>
      </c>
      <c r="O129">
        <v>81.7</v>
      </c>
      <c r="P129">
        <v>85.7</v>
      </c>
      <c r="Q129">
        <v>87.7</v>
      </c>
      <c r="R129">
        <v>4.0999999999999996</v>
      </c>
      <c r="S129">
        <v>9</v>
      </c>
      <c r="T129" t="s">
        <v>31</v>
      </c>
      <c r="U129">
        <v>7</v>
      </c>
      <c r="V129">
        <v>4</v>
      </c>
    </row>
    <row r="130" spans="1:22" x14ac:dyDescent="0.3">
      <c r="A130" t="s">
        <v>284</v>
      </c>
      <c r="B130" t="s">
        <v>285</v>
      </c>
      <c r="C130" t="s">
        <v>40</v>
      </c>
      <c r="D130" t="s">
        <v>25</v>
      </c>
      <c r="E130" t="s">
        <v>26</v>
      </c>
      <c r="F130" t="s">
        <v>35</v>
      </c>
      <c r="G130" t="s">
        <v>28</v>
      </c>
      <c r="H130" t="s">
        <v>29</v>
      </c>
      <c r="I130" t="s">
        <v>30</v>
      </c>
      <c r="J130">
        <v>97</v>
      </c>
      <c r="K130">
        <v>0</v>
      </c>
      <c r="L130">
        <v>20</v>
      </c>
      <c r="M130">
        <v>109</v>
      </c>
      <c r="N130">
        <v>99</v>
      </c>
      <c r="O130">
        <v>90.8</v>
      </c>
      <c r="P130">
        <v>93.8</v>
      </c>
      <c r="Q130">
        <v>89.8</v>
      </c>
      <c r="R130">
        <v>4.8</v>
      </c>
      <c r="S130">
        <v>8.1999999999999993</v>
      </c>
      <c r="T130" t="s">
        <v>31</v>
      </c>
      <c r="U130">
        <v>6</v>
      </c>
      <c r="V130">
        <v>4</v>
      </c>
    </row>
    <row r="131" spans="1:22" x14ac:dyDescent="0.3">
      <c r="A131" t="s">
        <v>286</v>
      </c>
      <c r="B131" t="s">
        <v>239</v>
      </c>
      <c r="C131" t="s">
        <v>40</v>
      </c>
      <c r="D131" t="s">
        <v>25</v>
      </c>
      <c r="E131" t="s">
        <v>34</v>
      </c>
      <c r="F131" t="s">
        <v>27</v>
      </c>
      <c r="G131" t="s">
        <v>36</v>
      </c>
      <c r="H131" t="s">
        <v>56</v>
      </c>
      <c r="I131" t="s">
        <v>68</v>
      </c>
      <c r="J131">
        <v>90</v>
      </c>
      <c r="K131">
        <v>2</v>
      </c>
      <c r="L131">
        <v>16</v>
      </c>
      <c r="M131">
        <v>155</v>
      </c>
      <c r="N131">
        <v>142</v>
      </c>
      <c r="O131">
        <v>91.6</v>
      </c>
      <c r="P131">
        <v>87.6</v>
      </c>
      <c r="Q131">
        <v>87.6</v>
      </c>
      <c r="R131">
        <v>4.2</v>
      </c>
      <c r="S131">
        <v>8</v>
      </c>
      <c r="T131" t="s">
        <v>46</v>
      </c>
      <c r="U131">
        <v>1</v>
      </c>
      <c r="V131">
        <v>3</v>
      </c>
    </row>
    <row r="132" spans="1:22" x14ac:dyDescent="0.3">
      <c r="A132" t="s">
        <v>287</v>
      </c>
      <c r="B132" t="s">
        <v>288</v>
      </c>
      <c r="C132" t="s">
        <v>24</v>
      </c>
      <c r="D132" t="s">
        <v>49</v>
      </c>
      <c r="E132" t="s">
        <v>41</v>
      </c>
      <c r="F132" t="s">
        <v>27</v>
      </c>
      <c r="G132" t="s">
        <v>36</v>
      </c>
      <c r="H132" t="s">
        <v>44</v>
      </c>
      <c r="I132" t="s">
        <v>37</v>
      </c>
      <c r="J132">
        <v>99</v>
      </c>
      <c r="K132">
        <v>0</v>
      </c>
      <c r="L132">
        <v>4</v>
      </c>
      <c r="M132">
        <v>130</v>
      </c>
      <c r="N132">
        <v>114</v>
      </c>
      <c r="O132">
        <v>87.7</v>
      </c>
      <c r="P132">
        <v>90.7</v>
      </c>
      <c r="Q132">
        <v>90.7</v>
      </c>
      <c r="R132">
        <v>4.3</v>
      </c>
      <c r="S132">
        <v>8.5</v>
      </c>
      <c r="T132" t="s">
        <v>31</v>
      </c>
      <c r="U132">
        <v>4</v>
      </c>
      <c r="V132">
        <v>9</v>
      </c>
    </row>
    <row r="133" spans="1:22" x14ac:dyDescent="0.3">
      <c r="A133" t="s">
        <v>289</v>
      </c>
      <c r="B133" t="s">
        <v>264</v>
      </c>
      <c r="C133" t="s">
        <v>24</v>
      </c>
      <c r="D133" t="s">
        <v>49</v>
      </c>
      <c r="E133" t="s">
        <v>41</v>
      </c>
      <c r="F133" t="s">
        <v>27</v>
      </c>
      <c r="G133" t="s">
        <v>76</v>
      </c>
      <c r="H133" t="s">
        <v>29</v>
      </c>
      <c r="I133" t="s">
        <v>45</v>
      </c>
      <c r="J133">
        <v>97</v>
      </c>
      <c r="K133">
        <v>0</v>
      </c>
      <c r="L133">
        <v>17</v>
      </c>
      <c r="M133">
        <v>158</v>
      </c>
      <c r="N133">
        <v>157</v>
      </c>
      <c r="O133">
        <v>99.4</v>
      </c>
      <c r="P133">
        <v>100</v>
      </c>
      <c r="Q133">
        <v>101.4</v>
      </c>
      <c r="R133">
        <v>5</v>
      </c>
      <c r="S133">
        <v>7.7</v>
      </c>
      <c r="T133" t="s">
        <v>46</v>
      </c>
      <c r="U133">
        <v>1</v>
      </c>
      <c r="V133">
        <v>10</v>
      </c>
    </row>
    <row r="134" spans="1:22" x14ac:dyDescent="0.3">
      <c r="A134" t="s">
        <v>290</v>
      </c>
      <c r="B134" t="s">
        <v>291</v>
      </c>
      <c r="C134" t="s">
        <v>40</v>
      </c>
      <c r="D134" t="s">
        <v>49</v>
      </c>
      <c r="E134" t="s">
        <v>50</v>
      </c>
      <c r="F134" t="s">
        <v>27</v>
      </c>
      <c r="G134" t="s">
        <v>55</v>
      </c>
      <c r="H134" t="s">
        <v>56</v>
      </c>
      <c r="I134" t="s">
        <v>57</v>
      </c>
      <c r="J134">
        <v>95</v>
      </c>
      <c r="K134">
        <v>1</v>
      </c>
      <c r="L134">
        <v>17</v>
      </c>
      <c r="M134">
        <v>133</v>
      </c>
      <c r="N134">
        <v>132</v>
      </c>
      <c r="O134">
        <v>99.2</v>
      </c>
      <c r="P134">
        <v>98.2</v>
      </c>
      <c r="Q134">
        <v>99.2</v>
      </c>
      <c r="R134">
        <v>4.9000000000000004</v>
      </c>
      <c r="S134">
        <v>7</v>
      </c>
      <c r="T134" t="s">
        <v>46</v>
      </c>
      <c r="U134">
        <v>0</v>
      </c>
      <c r="V134">
        <v>6</v>
      </c>
    </row>
    <row r="135" spans="1:22" x14ac:dyDescent="0.3">
      <c r="A135" t="s">
        <v>292</v>
      </c>
      <c r="B135" t="s">
        <v>293</v>
      </c>
      <c r="C135" t="s">
        <v>24</v>
      </c>
      <c r="D135" t="s">
        <v>25</v>
      </c>
      <c r="E135" t="s">
        <v>34</v>
      </c>
      <c r="F135" t="s">
        <v>54</v>
      </c>
      <c r="G135" t="s">
        <v>63</v>
      </c>
      <c r="H135" t="s">
        <v>56</v>
      </c>
      <c r="I135" t="s">
        <v>79</v>
      </c>
      <c r="J135">
        <v>93</v>
      </c>
      <c r="K135">
        <v>1</v>
      </c>
      <c r="L135">
        <v>10</v>
      </c>
      <c r="M135">
        <v>178</v>
      </c>
      <c r="N135">
        <v>165</v>
      </c>
      <c r="O135">
        <v>92.7</v>
      </c>
      <c r="P135">
        <v>95.7</v>
      </c>
      <c r="Q135">
        <v>86.7</v>
      </c>
      <c r="R135">
        <v>4.8</v>
      </c>
      <c r="S135">
        <v>8.1999999999999993</v>
      </c>
      <c r="T135" t="s">
        <v>46</v>
      </c>
      <c r="U135">
        <v>2</v>
      </c>
      <c r="V135">
        <v>11</v>
      </c>
    </row>
    <row r="136" spans="1:22" x14ac:dyDescent="0.3">
      <c r="A136" t="s">
        <v>294</v>
      </c>
      <c r="B136" t="s">
        <v>295</v>
      </c>
      <c r="C136" t="s">
        <v>24</v>
      </c>
      <c r="D136" t="s">
        <v>25</v>
      </c>
      <c r="E136" t="s">
        <v>67</v>
      </c>
      <c r="F136" t="s">
        <v>27</v>
      </c>
      <c r="G136" t="s">
        <v>76</v>
      </c>
      <c r="H136" t="s">
        <v>44</v>
      </c>
      <c r="I136" t="s">
        <v>60</v>
      </c>
      <c r="J136">
        <v>92</v>
      </c>
      <c r="K136">
        <v>2</v>
      </c>
      <c r="L136">
        <v>0</v>
      </c>
      <c r="M136">
        <v>159</v>
      </c>
      <c r="N136">
        <v>145</v>
      </c>
      <c r="O136">
        <v>91.2</v>
      </c>
      <c r="P136">
        <v>90.2</v>
      </c>
      <c r="Q136">
        <v>88.2</v>
      </c>
      <c r="R136">
        <v>4.2</v>
      </c>
      <c r="S136">
        <v>7.8</v>
      </c>
      <c r="T136" t="s">
        <v>46</v>
      </c>
      <c r="U136">
        <v>1</v>
      </c>
      <c r="V136">
        <v>6</v>
      </c>
    </row>
    <row r="137" spans="1:22" x14ac:dyDescent="0.3">
      <c r="A137" t="s">
        <v>296</v>
      </c>
      <c r="B137" t="s">
        <v>295</v>
      </c>
      <c r="C137" t="s">
        <v>40</v>
      </c>
      <c r="D137" t="s">
        <v>49</v>
      </c>
      <c r="E137" t="s">
        <v>71</v>
      </c>
      <c r="F137" t="s">
        <v>27</v>
      </c>
      <c r="G137" t="s">
        <v>76</v>
      </c>
      <c r="H137" t="s">
        <v>56</v>
      </c>
      <c r="I137" t="s">
        <v>60</v>
      </c>
      <c r="J137">
        <v>88</v>
      </c>
      <c r="K137">
        <v>3</v>
      </c>
      <c r="L137">
        <v>19</v>
      </c>
      <c r="M137">
        <v>170</v>
      </c>
      <c r="N137">
        <v>162</v>
      </c>
      <c r="O137">
        <v>95.3</v>
      </c>
      <c r="P137">
        <v>92.3</v>
      </c>
      <c r="Q137">
        <v>91.3</v>
      </c>
      <c r="R137">
        <v>4.5</v>
      </c>
      <c r="S137">
        <v>7.3</v>
      </c>
      <c r="T137" t="s">
        <v>46</v>
      </c>
      <c r="U137">
        <v>0</v>
      </c>
      <c r="V137">
        <v>5</v>
      </c>
    </row>
    <row r="138" spans="1:22" x14ac:dyDescent="0.3">
      <c r="A138" t="s">
        <v>297</v>
      </c>
      <c r="B138" t="s">
        <v>298</v>
      </c>
      <c r="C138" t="s">
        <v>40</v>
      </c>
      <c r="D138" t="s">
        <v>49</v>
      </c>
      <c r="E138" t="s">
        <v>26</v>
      </c>
      <c r="F138" t="s">
        <v>91</v>
      </c>
      <c r="G138" t="s">
        <v>43</v>
      </c>
      <c r="H138" t="s">
        <v>29</v>
      </c>
      <c r="I138" t="s">
        <v>92</v>
      </c>
      <c r="J138">
        <v>97</v>
      </c>
      <c r="K138">
        <v>0</v>
      </c>
      <c r="L138">
        <v>1</v>
      </c>
      <c r="M138">
        <v>101</v>
      </c>
      <c r="N138">
        <v>97</v>
      </c>
      <c r="O138">
        <v>96</v>
      </c>
      <c r="P138">
        <v>95</v>
      </c>
      <c r="Q138">
        <v>96</v>
      </c>
      <c r="R138">
        <v>4.9000000000000004</v>
      </c>
      <c r="S138">
        <v>8.1</v>
      </c>
      <c r="T138" t="s">
        <v>46</v>
      </c>
      <c r="U138">
        <v>1</v>
      </c>
      <c r="V138">
        <v>8</v>
      </c>
    </row>
    <row r="139" spans="1:22" x14ac:dyDescent="0.3">
      <c r="A139" t="s">
        <v>299</v>
      </c>
      <c r="B139" t="s">
        <v>300</v>
      </c>
      <c r="C139" t="s">
        <v>24</v>
      </c>
      <c r="D139" t="s">
        <v>49</v>
      </c>
      <c r="E139" t="s">
        <v>67</v>
      </c>
      <c r="F139" t="s">
        <v>35</v>
      </c>
      <c r="G139" t="s">
        <v>28</v>
      </c>
      <c r="H139" t="s">
        <v>29</v>
      </c>
      <c r="I139" t="s">
        <v>79</v>
      </c>
      <c r="J139">
        <v>83</v>
      </c>
      <c r="K139">
        <v>4</v>
      </c>
      <c r="L139">
        <v>16</v>
      </c>
      <c r="M139">
        <v>167</v>
      </c>
      <c r="N139">
        <v>150</v>
      </c>
      <c r="O139">
        <v>89.8</v>
      </c>
      <c r="P139">
        <v>92.8</v>
      </c>
      <c r="Q139">
        <v>87.8</v>
      </c>
      <c r="R139">
        <v>4.5</v>
      </c>
      <c r="S139">
        <v>7.8</v>
      </c>
      <c r="T139" t="s">
        <v>31</v>
      </c>
      <c r="U139">
        <v>5</v>
      </c>
      <c r="V139">
        <v>8</v>
      </c>
    </row>
    <row r="140" spans="1:22" x14ac:dyDescent="0.3">
      <c r="A140" t="s">
        <v>301</v>
      </c>
      <c r="B140" t="s">
        <v>66</v>
      </c>
      <c r="C140" t="s">
        <v>24</v>
      </c>
      <c r="D140" t="s">
        <v>25</v>
      </c>
      <c r="E140" t="s">
        <v>50</v>
      </c>
      <c r="F140" t="s">
        <v>72</v>
      </c>
      <c r="G140" t="s">
        <v>63</v>
      </c>
      <c r="H140" t="s">
        <v>29</v>
      </c>
      <c r="I140" t="s">
        <v>73</v>
      </c>
      <c r="J140">
        <v>100</v>
      </c>
      <c r="K140">
        <v>0</v>
      </c>
      <c r="L140">
        <v>16</v>
      </c>
      <c r="M140">
        <v>178</v>
      </c>
      <c r="N140">
        <v>158</v>
      </c>
      <c r="O140">
        <v>88.8</v>
      </c>
      <c r="P140">
        <v>84.8</v>
      </c>
      <c r="Q140">
        <v>81.8</v>
      </c>
      <c r="R140">
        <v>3.8</v>
      </c>
      <c r="S140">
        <v>8.1999999999999993</v>
      </c>
      <c r="T140" t="s">
        <v>31</v>
      </c>
      <c r="U140">
        <v>3</v>
      </c>
      <c r="V140">
        <v>9</v>
      </c>
    </row>
    <row r="141" spans="1:22" x14ac:dyDescent="0.3">
      <c r="A141" t="s">
        <v>302</v>
      </c>
      <c r="B141" t="s">
        <v>303</v>
      </c>
      <c r="C141" t="s">
        <v>24</v>
      </c>
      <c r="D141" t="s">
        <v>49</v>
      </c>
      <c r="E141" t="s">
        <v>34</v>
      </c>
      <c r="F141" t="s">
        <v>27</v>
      </c>
      <c r="G141" t="s">
        <v>36</v>
      </c>
      <c r="H141" t="s">
        <v>56</v>
      </c>
      <c r="I141" t="s">
        <v>60</v>
      </c>
      <c r="J141">
        <v>96</v>
      </c>
      <c r="K141">
        <v>1</v>
      </c>
      <c r="L141">
        <v>9</v>
      </c>
      <c r="M141">
        <v>145</v>
      </c>
      <c r="N141">
        <v>130</v>
      </c>
      <c r="O141">
        <v>89.7</v>
      </c>
      <c r="P141">
        <v>88.7</v>
      </c>
      <c r="Q141">
        <v>87.7</v>
      </c>
      <c r="R141">
        <v>4.2</v>
      </c>
      <c r="S141">
        <v>8.6</v>
      </c>
      <c r="T141" t="s">
        <v>31</v>
      </c>
      <c r="U141">
        <v>7</v>
      </c>
      <c r="V141">
        <v>3</v>
      </c>
    </row>
    <row r="142" spans="1:22" x14ac:dyDescent="0.3">
      <c r="A142" t="s">
        <v>304</v>
      </c>
      <c r="B142" t="s">
        <v>138</v>
      </c>
      <c r="C142" t="s">
        <v>40</v>
      </c>
      <c r="D142" t="s">
        <v>25</v>
      </c>
      <c r="E142" t="s">
        <v>67</v>
      </c>
      <c r="F142" t="s">
        <v>35</v>
      </c>
      <c r="G142" t="s">
        <v>36</v>
      </c>
      <c r="H142" t="s">
        <v>29</v>
      </c>
      <c r="I142" t="s">
        <v>45</v>
      </c>
      <c r="J142">
        <v>94</v>
      </c>
      <c r="K142">
        <v>1</v>
      </c>
      <c r="L142">
        <v>2</v>
      </c>
      <c r="M142">
        <v>118</v>
      </c>
      <c r="N142">
        <v>96</v>
      </c>
      <c r="O142">
        <v>81.400000000000006</v>
      </c>
      <c r="P142">
        <v>78</v>
      </c>
      <c r="Q142">
        <v>86.4</v>
      </c>
      <c r="R142">
        <v>3.3</v>
      </c>
      <c r="S142">
        <v>9</v>
      </c>
      <c r="T142" t="s">
        <v>31</v>
      </c>
      <c r="U142">
        <v>7</v>
      </c>
      <c r="V142">
        <v>11</v>
      </c>
    </row>
    <row r="143" spans="1:22" x14ac:dyDescent="0.3">
      <c r="A143" t="s">
        <v>305</v>
      </c>
      <c r="B143" t="s">
        <v>306</v>
      </c>
      <c r="C143" t="s">
        <v>24</v>
      </c>
      <c r="D143" t="s">
        <v>49</v>
      </c>
      <c r="E143" t="s">
        <v>67</v>
      </c>
      <c r="F143" t="s">
        <v>54</v>
      </c>
      <c r="G143" t="s">
        <v>55</v>
      </c>
      <c r="H143" t="s">
        <v>56</v>
      </c>
      <c r="I143" t="s">
        <v>73</v>
      </c>
      <c r="J143">
        <v>87</v>
      </c>
      <c r="K143">
        <v>3</v>
      </c>
      <c r="L143">
        <v>9</v>
      </c>
      <c r="M143">
        <v>132</v>
      </c>
      <c r="N143">
        <v>109</v>
      </c>
      <c r="O143">
        <v>82.6</v>
      </c>
      <c r="P143">
        <v>82.6</v>
      </c>
      <c r="Q143">
        <v>85.6</v>
      </c>
      <c r="R143">
        <v>3.8</v>
      </c>
      <c r="S143">
        <v>8.8000000000000007</v>
      </c>
      <c r="T143" t="s">
        <v>31</v>
      </c>
      <c r="U143">
        <v>4</v>
      </c>
      <c r="V143">
        <v>10</v>
      </c>
    </row>
    <row r="144" spans="1:22" x14ac:dyDescent="0.3">
      <c r="A144" t="s">
        <v>307</v>
      </c>
      <c r="B144" t="s">
        <v>228</v>
      </c>
      <c r="C144" t="s">
        <v>24</v>
      </c>
      <c r="D144" t="s">
        <v>25</v>
      </c>
      <c r="E144" t="s">
        <v>26</v>
      </c>
      <c r="F144" t="s">
        <v>91</v>
      </c>
      <c r="G144" t="s">
        <v>63</v>
      </c>
      <c r="H144" t="s">
        <v>56</v>
      </c>
      <c r="I144" t="s">
        <v>51</v>
      </c>
      <c r="J144">
        <v>91</v>
      </c>
      <c r="K144">
        <v>2</v>
      </c>
      <c r="L144">
        <v>25</v>
      </c>
      <c r="M144">
        <v>180</v>
      </c>
      <c r="N144">
        <v>151</v>
      </c>
      <c r="O144">
        <v>83.9</v>
      </c>
      <c r="P144">
        <v>79.900000000000006</v>
      </c>
      <c r="Q144">
        <v>79.900000000000006</v>
      </c>
      <c r="R144">
        <v>3.6</v>
      </c>
      <c r="S144">
        <v>8.5</v>
      </c>
      <c r="T144" t="s">
        <v>31</v>
      </c>
      <c r="U144">
        <v>7</v>
      </c>
      <c r="V144">
        <v>6</v>
      </c>
    </row>
    <row r="145" spans="1:22" x14ac:dyDescent="0.3">
      <c r="A145" t="s">
        <v>308</v>
      </c>
      <c r="B145" t="s">
        <v>106</v>
      </c>
      <c r="C145" t="s">
        <v>40</v>
      </c>
      <c r="D145" t="s">
        <v>49</v>
      </c>
      <c r="E145" t="s">
        <v>71</v>
      </c>
      <c r="F145" t="s">
        <v>27</v>
      </c>
      <c r="G145" t="s">
        <v>55</v>
      </c>
      <c r="H145" t="s">
        <v>29</v>
      </c>
      <c r="I145" t="s">
        <v>51</v>
      </c>
      <c r="J145">
        <v>91</v>
      </c>
      <c r="K145">
        <v>2</v>
      </c>
      <c r="L145">
        <v>8</v>
      </c>
      <c r="M145">
        <v>127</v>
      </c>
      <c r="N145">
        <v>122</v>
      </c>
      <c r="O145">
        <v>96.1</v>
      </c>
      <c r="P145">
        <v>94.1</v>
      </c>
      <c r="Q145">
        <v>96.1</v>
      </c>
      <c r="R145">
        <v>4.7</v>
      </c>
      <c r="S145">
        <v>7.7</v>
      </c>
      <c r="T145" t="s">
        <v>46</v>
      </c>
      <c r="U145">
        <v>2</v>
      </c>
      <c r="V145">
        <v>10</v>
      </c>
    </row>
    <row r="146" spans="1:22" x14ac:dyDescent="0.3">
      <c r="A146" t="s">
        <v>309</v>
      </c>
      <c r="B146" t="s">
        <v>295</v>
      </c>
      <c r="C146" t="s">
        <v>40</v>
      </c>
      <c r="D146" t="s">
        <v>25</v>
      </c>
      <c r="E146" t="s">
        <v>67</v>
      </c>
      <c r="F146" t="s">
        <v>91</v>
      </c>
      <c r="G146" t="s">
        <v>28</v>
      </c>
      <c r="H146" t="s">
        <v>29</v>
      </c>
      <c r="I146" t="s">
        <v>64</v>
      </c>
      <c r="J146">
        <v>84</v>
      </c>
      <c r="K146">
        <v>4</v>
      </c>
      <c r="L146">
        <v>12</v>
      </c>
      <c r="M146">
        <v>178</v>
      </c>
      <c r="N146">
        <v>152</v>
      </c>
      <c r="O146">
        <v>85.4</v>
      </c>
      <c r="P146">
        <v>83.4</v>
      </c>
      <c r="Q146">
        <v>79.400000000000006</v>
      </c>
      <c r="R146">
        <v>3.8</v>
      </c>
      <c r="S146">
        <v>8.6999999999999993</v>
      </c>
      <c r="T146" t="s">
        <v>31</v>
      </c>
      <c r="U146">
        <v>7</v>
      </c>
      <c r="V146">
        <v>6</v>
      </c>
    </row>
    <row r="147" spans="1:22" x14ac:dyDescent="0.3">
      <c r="A147" t="s">
        <v>310</v>
      </c>
      <c r="B147" t="s">
        <v>311</v>
      </c>
      <c r="C147" t="s">
        <v>24</v>
      </c>
      <c r="D147" t="s">
        <v>49</v>
      </c>
      <c r="E147" t="s">
        <v>41</v>
      </c>
      <c r="F147" t="s">
        <v>72</v>
      </c>
      <c r="G147" t="s">
        <v>43</v>
      </c>
      <c r="H147" t="s">
        <v>56</v>
      </c>
      <c r="I147" t="s">
        <v>57</v>
      </c>
      <c r="J147">
        <v>86</v>
      </c>
      <c r="K147">
        <v>3</v>
      </c>
      <c r="L147">
        <v>22</v>
      </c>
      <c r="M147">
        <v>123</v>
      </c>
      <c r="N147">
        <v>111</v>
      </c>
      <c r="O147">
        <v>90.2</v>
      </c>
      <c r="P147">
        <v>88.2</v>
      </c>
      <c r="Q147">
        <v>97.2</v>
      </c>
      <c r="R147">
        <v>4.0999999999999996</v>
      </c>
      <c r="S147">
        <v>8.6</v>
      </c>
      <c r="T147" t="s">
        <v>46</v>
      </c>
      <c r="U147">
        <v>1</v>
      </c>
      <c r="V147">
        <v>9</v>
      </c>
    </row>
    <row r="148" spans="1:22" x14ac:dyDescent="0.3">
      <c r="A148" t="s">
        <v>312</v>
      </c>
      <c r="B148" t="s">
        <v>160</v>
      </c>
      <c r="C148" t="s">
        <v>24</v>
      </c>
      <c r="D148" t="s">
        <v>25</v>
      </c>
      <c r="E148" t="s">
        <v>50</v>
      </c>
      <c r="F148" t="s">
        <v>72</v>
      </c>
      <c r="G148" t="s">
        <v>43</v>
      </c>
      <c r="H148" t="s">
        <v>56</v>
      </c>
      <c r="I148" t="s">
        <v>37</v>
      </c>
      <c r="J148">
        <v>92</v>
      </c>
      <c r="K148">
        <v>2</v>
      </c>
      <c r="L148">
        <v>15</v>
      </c>
      <c r="M148">
        <v>118</v>
      </c>
      <c r="N148">
        <v>103</v>
      </c>
      <c r="O148">
        <v>87.3</v>
      </c>
      <c r="P148">
        <v>84.3</v>
      </c>
      <c r="Q148">
        <v>79.3</v>
      </c>
      <c r="R148">
        <v>3.8</v>
      </c>
      <c r="S148">
        <v>8.6999999999999993</v>
      </c>
      <c r="T148" t="s">
        <v>31</v>
      </c>
      <c r="U148">
        <v>7</v>
      </c>
      <c r="V148">
        <v>0</v>
      </c>
    </row>
    <row r="149" spans="1:22" x14ac:dyDescent="0.3">
      <c r="A149" t="s">
        <v>313</v>
      </c>
      <c r="B149" t="s">
        <v>204</v>
      </c>
      <c r="C149" t="s">
        <v>24</v>
      </c>
      <c r="D149" t="s">
        <v>25</v>
      </c>
      <c r="E149" t="s">
        <v>34</v>
      </c>
      <c r="F149" t="s">
        <v>27</v>
      </c>
      <c r="G149" t="s">
        <v>63</v>
      </c>
      <c r="H149" t="s">
        <v>44</v>
      </c>
      <c r="I149" t="s">
        <v>79</v>
      </c>
      <c r="J149">
        <v>99</v>
      </c>
      <c r="K149">
        <v>0</v>
      </c>
      <c r="L149">
        <v>16</v>
      </c>
      <c r="M149">
        <v>146</v>
      </c>
      <c r="N149">
        <v>128</v>
      </c>
      <c r="O149">
        <v>87.7</v>
      </c>
      <c r="P149">
        <v>83.7</v>
      </c>
      <c r="Q149">
        <v>88.7</v>
      </c>
      <c r="R149">
        <v>3.7</v>
      </c>
      <c r="S149">
        <v>8.3000000000000007</v>
      </c>
      <c r="T149" t="s">
        <v>31</v>
      </c>
      <c r="U149">
        <v>7</v>
      </c>
      <c r="V149">
        <v>4</v>
      </c>
    </row>
    <row r="150" spans="1:22" x14ac:dyDescent="0.3">
      <c r="A150" t="s">
        <v>314</v>
      </c>
      <c r="B150" t="s">
        <v>315</v>
      </c>
      <c r="C150" t="s">
        <v>24</v>
      </c>
      <c r="D150" t="s">
        <v>49</v>
      </c>
      <c r="E150" t="s">
        <v>26</v>
      </c>
      <c r="F150" t="s">
        <v>42</v>
      </c>
      <c r="G150" t="s">
        <v>55</v>
      </c>
      <c r="H150" t="s">
        <v>29</v>
      </c>
      <c r="I150" t="s">
        <v>82</v>
      </c>
      <c r="J150">
        <v>84</v>
      </c>
      <c r="K150">
        <v>4</v>
      </c>
      <c r="L150">
        <v>13</v>
      </c>
      <c r="M150">
        <v>94</v>
      </c>
      <c r="N150">
        <v>84</v>
      </c>
      <c r="O150">
        <v>89.4</v>
      </c>
      <c r="P150">
        <v>86.4</v>
      </c>
      <c r="Q150">
        <v>87.4</v>
      </c>
      <c r="R150">
        <v>4.0999999999999996</v>
      </c>
      <c r="S150">
        <v>8.6999999999999993</v>
      </c>
      <c r="T150" t="s">
        <v>31</v>
      </c>
      <c r="U150">
        <v>6</v>
      </c>
      <c r="V150">
        <v>11</v>
      </c>
    </row>
    <row r="151" spans="1:22" x14ac:dyDescent="0.3">
      <c r="A151" t="s">
        <v>316</v>
      </c>
      <c r="B151" t="s">
        <v>164</v>
      </c>
      <c r="C151" t="s">
        <v>40</v>
      </c>
      <c r="D151" t="s">
        <v>25</v>
      </c>
      <c r="E151" t="s">
        <v>41</v>
      </c>
      <c r="F151" t="s">
        <v>54</v>
      </c>
      <c r="G151" t="s">
        <v>55</v>
      </c>
      <c r="H151" t="s">
        <v>29</v>
      </c>
      <c r="I151" t="s">
        <v>60</v>
      </c>
      <c r="J151">
        <v>92</v>
      </c>
      <c r="K151">
        <v>2</v>
      </c>
      <c r="L151">
        <v>12</v>
      </c>
      <c r="M151">
        <v>100</v>
      </c>
      <c r="N151">
        <v>91</v>
      </c>
      <c r="O151">
        <v>91</v>
      </c>
      <c r="P151">
        <v>87</v>
      </c>
      <c r="Q151">
        <v>92</v>
      </c>
      <c r="R151">
        <v>4.0999999999999996</v>
      </c>
      <c r="S151">
        <v>8.1</v>
      </c>
      <c r="T151" t="s">
        <v>46</v>
      </c>
      <c r="U151">
        <v>2</v>
      </c>
      <c r="V151">
        <v>0</v>
      </c>
    </row>
    <row r="152" spans="1:22" x14ac:dyDescent="0.3">
      <c r="A152" t="s">
        <v>317</v>
      </c>
      <c r="B152" t="s">
        <v>100</v>
      </c>
      <c r="C152" t="s">
        <v>40</v>
      </c>
      <c r="D152" t="s">
        <v>25</v>
      </c>
      <c r="E152" t="s">
        <v>41</v>
      </c>
      <c r="F152" t="s">
        <v>72</v>
      </c>
      <c r="G152" t="s">
        <v>28</v>
      </c>
      <c r="H152" t="s">
        <v>29</v>
      </c>
      <c r="I152" t="s">
        <v>68</v>
      </c>
      <c r="J152">
        <v>99</v>
      </c>
      <c r="K152">
        <v>0</v>
      </c>
      <c r="L152">
        <v>9</v>
      </c>
      <c r="M152">
        <v>143</v>
      </c>
      <c r="N152">
        <v>123</v>
      </c>
      <c r="O152">
        <v>86</v>
      </c>
      <c r="P152">
        <v>87</v>
      </c>
      <c r="Q152">
        <v>93</v>
      </c>
      <c r="R152">
        <v>4.0999999999999996</v>
      </c>
      <c r="S152">
        <v>8.1</v>
      </c>
      <c r="T152" t="s">
        <v>31</v>
      </c>
      <c r="U152">
        <v>7</v>
      </c>
      <c r="V152">
        <v>8</v>
      </c>
    </row>
    <row r="153" spans="1:22" x14ac:dyDescent="0.3">
      <c r="A153" t="s">
        <v>318</v>
      </c>
      <c r="B153" t="s">
        <v>210</v>
      </c>
      <c r="C153" t="s">
        <v>40</v>
      </c>
      <c r="D153" t="s">
        <v>49</v>
      </c>
      <c r="E153" t="s">
        <v>26</v>
      </c>
      <c r="F153" t="s">
        <v>91</v>
      </c>
      <c r="G153" t="s">
        <v>43</v>
      </c>
      <c r="H153" t="s">
        <v>44</v>
      </c>
      <c r="I153" t="s">
        <v>45</v>
      </c>
      <c r="J153">
        <v>84</v>
      </c>
      <c r="K153">
        <v>4</v>
      </c>
      <c r="L153">
        <v>11</v>
      </c>
      <c r="M153">
        <v>178</v>
      </c>
      <c r="N153">
        <v>148</v>
      </c>
      <c r="O153">
        <v>83.1</v>
      </c>
      <c r="P153">
        <v>84.1</v>
      </c>
      <c r="Q153">
        <v>85.1</v>
      </c>
      <c r="R153">
        <v>3.9</v>
      </c>
      <c r="S153">
        <v>9.1</v>
      </c>
      <c r="T153" t="s">
        <v>31</v>
      </c>
      <c r="U153">
        <v>5</v>
      </c>
      <c r="V153">
        <v>6</v>
      </c>
    </row>
    <row r="154" spans="1:22" x14ac:dyDescent="0.3">
      <c r="A154" t="s">
        <v>319</v>
      </c>
      <c r="B154" t="s">
        <v>33</v>
      </c>
      <c r="C154" t="s">
        <v>24</v>
      </c>
      <c r="D154" t="s">
        <v>25</v>
      </c>
      <c r="E154" t="s">
        <v>41</v>
      </c>
      <c r="F154" t="s">
        <v>91</v>
      </c>
      <c r="G154" t="s">
        <v>28</v>
      </c>
      <c r="H154" t="s">
        <v>29</v>
      </c>
      <c r="I154" t="s">
        <v>68</v>
      </c>
      <c r="J154">
        <v>100</v>
      </c>
      <c r="K154">
        <v>0</v>
      </c>
      <c r="L154">
        <v>17</v>
      </c>
      <c r="M154">
        <v>167</v>
      </c>
      <c r="N154">
        <v>151</v>
      </c>
      <c r="O154">
        <v>90.4</v>
      </c>
      <c r="P154">
        <v>87.4</v>
      </c>
      <c r="Q154">
        <v>94.4</v>
      </c>
      <c r="R154">
        <v>4.3</v>
      </c>
      <c r="S154">
        <v>7.9</v>
      </c>
      <c r="T154" t="s">
        <v>46</v>
      </c>
      <c r="U154">
        <v>0</v>
      </c>
      <c r="V154">
        <v>5</v>
      </c>
    </row>
    <row r="155" spans="1:22" x14ac:dyDescent="0.3">
      <c r="A155" t="s">
        <v>320</v>
      </c>
      <c r="B155" t="s">
        <v>321</v>
      </c>
      <c r="C155" t="s">
        <v>24</v>
      </c>
      <c r="D155" t="s">
        <v>49</v>
      </c>
      <c r="E155" t="s">
        <v>50</v>
      </c>
      <c r="F155" t="s">
        <v>35</v>
      </c>
      <c r="G155" t="s">
        <v>63</v>
      </c>
      <c r="H155" t="s">
        <v>44</v>
      </c>
      <c r="I155" t="s">
        <v>68</v>
      </c>
      <c r="J155">
        <v>95</v>
      </c>
      <c r="K155">
        <v>1</v>
      </c>
      <c r="L155">
        <v>1</v>
      </c>
      <c r="M155">
        <v>132</v>
      </c>
      <c r="N155">
        <v>131</v>
      </c>
      <c r="O155">
        <v>99.2</v>
      </c>
      <c r="P155">
        <v>100</v>
      </c>
      <c r="Q155">
        <v>101.2</v>
      </c>
      <c r="R155">
        <v>5</v>
      </c>
      <c r="S155">
        <v>7.3</v>
      </c>
      <c r="T155" t="s">
        <v>46</v>
      </c>
      <c r="U155">
        <v>0</v>
      </c>
      <c r="V155">
        <v>8</v>
      </c>
    </row>
    <row r="156" spans="1:22" x14ac:dyDescent="0.3">
      <c r="A156" t="s">
        <v>322</v>
      </c>
      <c r="B156" t="s">
        <v>303</v>
      </c>
      <c r="C156" t="s">
        <v>40</v>
      </c>
      <c r="D156" t="s">
        <v>25</v>
      </c>
      <c r="E156" t="s">
        <v>71</v>
      </c>
      <c r="F156" t="s">
        <v>42</v>
      </c>
      <c r="G156" t="s">
        <v>36</v>
      </c>
      <c r="H156" t="s">
        <v>29</v>
      </c>
      <c r="I156" t="s">
        <v>73</v>
      </c>
      <c r="J156">
        <v>89</v>
      </c>
      <c r="K156">
        <v>2</v>
      </c>
      <c r="L156">
        <v>20</v>
      </c>
      <c r="M156">
        <v>164</v>
      </c>
      <c r="N156">
        <v>157</v>
      </c>
      <c r="O156">
        <v>95.7</v>
      </c>
      <c r="P156">
        <v>91.7</v>
      </c>
      <c r="Q156">
        <v>100.7</v>
      </c>
      <c r="R156">
        <v>4.5</v>
      </c>
      <c r="S156">
        <v>7.5</v>
      </c>
      <c r="T156" t="s">
        <v>46</v>
      </c>
      <c r="U156">
        <v>2</v>
      </c>
      <c r="V156">
        <v>5</v>
      </c>
    </row>
    <row r="157" spans="1:22" x14ac:dyDescent="0.3">
      <c r="A157" t="s">
        <v>323</v>
      </c>
      <c r="B157" t="s">
        <v>250</v>
      </c>
      <c r="C157" t="s">
        <v>24</v>
      </c>
      <c r="D157" t="s">
        <v>25</v>
      </c>
      <c r="E157" t="s">
        <v>34</v>
      </c>
      <c r="F157" t="s">
        <v>72</v>
      </c>
      <c r="G157" t="s">
        <v>76</v>
      </c>
      <c r="H157" t="s">
        <v>29</v>
      </c>
      <c r="I157" t="s">
        <v>64</v>
      </c>
      <c r="J157">
        <v>94</v>
      </c>
      <c r="K157">
        <v>1</v>
      </c>
      <c r="L157">
        <v>8</v>
      </c>
      <c r="M157">
        <v>161</v>
      </c>
      <c r="N157">
        <v>158</v>
      </c>
      <c r="O157">
        <v>98.1</v>
      </c>
      <c r="P157">
        <v>98.1</v>
      </c>
      <c r="Q157">
        <v>103.1</v>
      </c>
      <c r="R157">
        <v>4.9000000000000004</v>
      </c>
      <c r="S157">
        <v>7.6</v>
      </c>
      <c r="T157" t="s">
        <v>46</v>
      </c>
      <c r="U157">
        <v>2</v>
      </c>
      <c r="V157">
        <v>7</v>
      </c>
    </row>
    <row r="158" spans="1:22" x14ac:dyDescent="0.3">
      <c r="A158" t="s">
        <v>324</v>
      </c>
      <c r="B158" t="s">
        <v>160</v>
      </c>
      <c r="C158" t="s">
        <v>24</v>
      </c>
      <c r="D158" t="s">
        <v>49</v>
      </c>
      <c r="E158" t="s">
        <v>71</v>
      </c>
      <c r="F158" t="s">
        <v>35</v>
      </c>
      <c r="G158" t="s">
        <v>43</v>
      </c>
      <c r="H158" t="s">
        <v>29</v>
      </c>
      <c r="I158" t="s">
        <v>73</v>
      </c>
      <c r="J158">
        <v>88</v>
      </c>
      <c r="K158">
        <v>3</v>
      </c>
      <c r="L158">
        <v>1</v>
      </c>
      <c r="M158">
        <v>99</v>
      </c>
      <c r="N158">
        <v>97</v>
      </c>
      <c r="O158">
        <v>98</v>
      </c>
      <c r="P158">
        <v>99</v>
      </c>
      <c r="Q158">
        <v>90</v>
      </c>
      <c r="R158">
        <v>5</v>
      </c>
      <c r="S158">
        <v>7.4</v>
      </c>
      <c r="T158" t="s">
        <v>46</v>
      </c>
      <c r="U158">
        <v>1</v>
      </c>
      <c r="V158">
        <v>6</v>
      </c>
    </row>
    <row r="159" spans="1:22" x14ac:dyDescent="0.3">
      <c r="A159" t="s">
        <v>325</v>
      </c>
      <c r="B159" t="s">
        <v>321</v>
      </c>
      <c r="C159" t="s">
        <v>24</v>
      </c>
      <c r="D159" t="s">
        <v>49</v>
      </c>
      <c r="E159" t="s">
        <v>26</v>
      </c>
      <c r="F159" t="s">
        <v>35</v>
      </c>
      <c r="G159" t="s">
        <v>55</v>
      </c>
      <c r="H159" t="s">
        <v>29</v>
      </c>
      <c r="I159" t="s">
        <v>82</v>
      </c>
      <c r="J159">
        <v>82</v>
      </c>
      <c r="K159">
        <v>4</v>
      </c>
      <c r="L159">
        <v>20</v>
      </c>
      <c r="M159">
        <v>178</v>
      </c>
      <c r="N159">
        <v>171</v>
      </c>
      <c r="O159">
        <v>96.1</v>
      </c>
      <c r="P159">
        <v>95.1</v>
      </c>
      <c r="Q159">
        <v>99.1</v>
      </c>
      <c r="R159">
        <v>4.7</v>
      </c>
      <c r="S159">
        <v>7.7</v>
      </c>
      <c r="T159" t="s">
        <v>46</v>
      </c>
      <c r="U159">
        <v>2</v>
      </c>
      <c r="V159">
        <v>0</v>
      </c>
    </row>
    <row r="160" spans="1:22" x14ac:dyDescent="0.3">
      <c r="A160" t="s">
        <v>326</v>
      </c>
      <c r="B160" t="s">
        <v>98</v>
      </c>
      <c r="C160" t="s">
        <v>40</v>
      </c>
      <c r="D160" t="s">
        <v>25</v>
      </c>
      <c r="E160" t="s">
        <v>67</v>
      </c>
      <c r="F160" t="s">
        <v>42</v>
      </c>
      <c r="G160" t="s">
        <v>43</v>
      </c>
      <c r="H160" t="s">
        <v>44</v>
      </c>
      <c r="I160" t="s">
        <v>37</v>
      </c>
      <c r="J160">
        <v>97</v>
      </c>
      <c r="K160">
        <v>0</v>
      </c>
      <c r="L160">
        <v>5</v>
      </c>
      <c r="M160">
        <v>154</v>
      </c>
      <c r="N160">
        <v>134</v>
      </c>
      <c r="O160">
        <v>87</v>
      </c>
      <c r="P160">
        <v>90</v>
      </c>
      <c r="Q160">
        <v>83</v>
      </c>
      <c r="R160">
        <v>4.4000000000000004</v>
      </c>
      <c r="S160">
        <v>8.5</v>
      </c>
      <c r="T160" t="s">
        <v>31</v>
      </c>
      <c r="U160">
        <v>5</v>
      </c>
      <c r="V160">
        <v>10</v>
      </c>
    </row>
    <row r="161" spans="1:22" x14ac:dyDescent="0.3">
      <c r="A161" t="s">
        <v>327</v>
      </c>
      <c r="B161" t="s">
        <v>328</v>
      </c>
      <c r="C161" t="s">
        <v>40</v>
      </c>
      <c r="D161" t="s">
        <v>49</v>
      </c>
      <c r="E161" t="s">
        <v>50</v>
      </c>
      <c r="F161" t="s">
        <v>35</v>
      </c>
      <c r="G161" t="s">
        <v>63</v>
      </c>
      <c r="H161" t="s">
        <v>44</v>
      </c>
      <c r="I161" t="s">
        <v>64</v>
      </c>
      <c r="J161">
        <v>92</v>
      </c>
      <c r="K161">
        <v>2</v>
      </c>
      <c r="L161">
        <v>17</v>
      </c>
      <c r="M161">
        <v>115</v>
      </c>
      <c r="N161">
        <v>99</v>
      </c>
      <c r="O161">
        <v>86.1</v>
      </c>
      <c r="P161">
        <v>84.1</v>
      </c>
      <c r="Q161">
        <v>85.1</v>
      </c>
      <c r="R161">
        <v>4</v>
      </c>
      <c r="S161">
        <v>8.1</v>
      </c>
      <c r="T161" t="s">
        <v>31</v>
      </c>
      <c r="U161">
        <v>3</v>
      </c>
      <c r="V161">
        <v>5</v>
      </c>
    </row>
    <row r="162" spans="1:22" x14ac:dyDescent="0.3">
      <c r="A162" t="s">
        <v>329</v>
      </c>
      <c r="B162" t="s">
        <v>330</v>
      </c>
      <c r="C162" t="s">
        <v>40</v>
      </c>
      <c r="D162" t="s">
        <v>49</v>
      </c>
      <c r="E162" t="s">
        <v>71</v>
      </c>
      <c r="F162" t="s">
        <v>72</v>
      </c>
      <c r="G162" t="s">
        <v>76</v>
      </c>
      <c r="H162" t="s">
        <v>56</v>
      </c>
      <c r="I162" t="s">
        <v>45</v>
      </c>
      <c r="J162">
        <v>93</v>
      </c>
      <c r="K162">
        <v>1</v>
      </c>
      <c r="L162">
        <v>10</v>
      </c>
      <c r="M162">
        <v>180</v>
      </c>
      <c r="N162">
        <v>151</v>
      </c>
      <c r="O162">
        <v>83.9</v>
      </c>
      <c r="P162">
        <v>87.9</v>
      </c>
      <c r="Q162">
        <v>84.9</v>
      </c>
      <c r="R162">
        <v>4.2</v>
      </c>
      <c r="S162">
        <v>8.9</v>
      </c>
      <c r="T162" t="s">
        <v>31</v>
      </c>
      <c r="U162">
        <v>6</v>
      </c>
      <c r="V162">
        <v>3</v>
      </c>
    </row>
    <row r="163" spans="1:22" x14ac:dyDescent="0.3">
      <c r="A163" t="s">
        <v>331</v>
      </c>
      <c r="B163" t="s">
        <v>332</v>
      </c>
      <c r="C163" t="s">
        <v>40</v>
      </c>
      <c r="D163" t="s">
        <v>49</v>
      </c>
      <c r="E163" t="s">
        <v>26</v>
      </c>
      <c r="F163" t="s">
        <v>91</v>
      </c>
      <c r="G163" t="s">
        <v>55</v>
      </c>
      <c r="H163" t="s">
        <v>56</v>
      </c>
      <c r="I163" t="s">
        <v>37</v>
      </c>
      <c r="J163">
        <v>94</v>
      </c>
      <c r="K163">
        <v>1</v>
      </c>
      <c r="L163">
        <v>14</v>
      </c>
      <c r="M163">
        <v>160</v>
      </c>
      <c r="N163">
        <v>151</v>
      </c>
      <c r="O163">
        <v>94.4</v>
      </c>
      <c r="P163">
        <v>90.4</v>
      </c>
      <c r="Q163">
        <v>86.4</v>
      </c>
      <c r="R163">
        <v>4.2</v>
      </c>
      <c r="S163">
        <v>7.4</v>
      </c>
      <c r="T163" t="s">
        <v>46</v>
      </c>
      <c r="U163">
        <v>0</v>
      </c>
      <c r="V163">
        <v>1</v>
      </c>
    </row>
    <row r="164" spans="1:22" x14ac:dyDescent="0.3">
      <c r="A164" t="s">
        <v>333</v>
      </c>
      <c r="B164" t="s">
        <v>158</v>
      </c>
      <c r="C164" t="s">
        <v>24</v>
      </c>
      <c r="D164" t="s">
        <v>25</v>
      </c>
      <c r="E164" t="s">
        <v>67</v>
      </c>
      <c r="F164" t="s">
        <v>27</v>
      </c>
      <c r="G164" t="s">
        <v>76</v>
      </c>
      <c r="H164" t="s">
        <v>44</v>
      </c>
      <c r="I164" t="s">
        <v>73</v>
      </c>
      <c r="J164">
        <v>83</v>
      </c>
      <c r="K164">
        <v>4</v>
      </c>
      <c r="L164">
        <v>17</v>
      </c>
      <c r="M164">
        <v>180</v>
      </c>
      <c r="N164">
        <v>149</v>
      </c>
      <c r="O164">
        <v>82.8</v>
      </c>
      <c r="P164">
        <v>78.8</v>
      </c>
      <c r="Q164">
        <v>90.8</v>
      </c>
      <c r="R164">
        <v>3.5</v>
      </c>
      <c r="S164">
        <v>8.5</v>
      </c>
      <c r="T164" t="s">
        <v>31</v>
      </c>
      <c r="U164">
        <v>4</v>
      </c>
      <c r="V164">
        <v>3</v>
      </c>
    </row>
    <row r="165" spans="1:22" x14ac:dyDescent="0.3">
      <c r="A165" t="s">
        <v>334</v>
      </c>
      <c r="B165" t="s">
        <v>335</v>
      </c>
      <c r="C165" t="s">
        <v>24</v>
      </c>
      <c r="D165" t="s">
        <v>49</v>
      </c>
      <c r="E165" t="s">
        <v>41</v>
      </c>
      <c r="F165" t="s">
        <v>35</v>
      </c>
      <c r="G165" t="s">
        <v>76</v>
      </c>
      <c r="H165" t="s">
        <v>56</v>
      </c>
      <c r="I165" t="s">
        <v>92</v>
      </c>
      <c r="J165">
        <v>96</v>
      </c>
      <c r="K165">
        <v>1</v>
      </c>
      <c r="L165">
        <v>19</v>
      </c>
      <c r="M165">
        <v>95</v>
      </c>
      <c r="N165">
        <v>84</v>
      </c>
      <c r="O165">
        <v>88.4</v>
      </c>
      <c r="P165">
        <v>85.4</v>
      </c>
      <c r="Q165">
        <v>91.4</v>
      </c>
      <c r="R165">
        <v>3.9</v>
      </c>
      <c r="S165">
        <v>8.6</v>
      </c>
      <c r="T165" t="s">
        <v>31</v>
      </c>
      <c r="U165">
        <v>4</v>
      </c>
      <c r="V165">
        <v>9</v>
      </c>
    </row>
    <row r="166" spans="1:22" x14ac:dyDescent="0.3">
      <c r="A166" t="s">
        <v>336</v>
      </c>
      <c r="B166" t="s">
        <v>271</v>
      </c>
      <c r="C166" t="s">
        <v>40</v>
      </c>
      <c r="D166" t="s">
        <v>49</v>
      </c>
      <c r="E166" t="s">
        <v>26</v>
      </c>
      <c r="F166" t="s">
        <v>27</v>
      </c>
      <c r="G166" t="s">
        <v>36</v>
      </c>
      <c r="H166" t="s">
        <v>29</v>
      </c>
      <c r="I166" t="s">
        <v>57</v>
      </c>
      <c r="J166">
        <v>100</v>
      </c>
      <c r="K166">
        <v>0</v>
      </c>
      <c r="L166">
        <v>0</v>
      </c>
      <c r="M166">
        <v>97</v>
      </c>
      <c r="N166">
        <v>82</v>
      </c>
      <c r="O166">
        <v>84.5</v>
      </c>
      <c r="P166">
        <v>86.5</v>
      </c>
      <c r="Q166">
        <v>90.5</v>
      </c>
      <c r="R166">
        <v>4.0999999999999996</v>
      </c>
      <c r="S166">
        <v>8.9</v>
      </c>
      <c r="T166" t="s">
        <v>31</v>
      </c>
      <c r="U166">
        <v>4</v>
      </c>
      <c r="V166">
        <v>5</v>
      </c>
    </row>
    <row r="167" spans="1:22" x14ac:dyDescent="0.3">
      <c r="A167" t="s">
        <v>337</v>
      </c>
      <c r="B167" t="s">
        <v>338</v>
      </c>
      <c r="C167" t="s">
        <v>24</v>
      </c>
      <c r="D167" t="s">
        <v>49</v>
      </c>
      <c r="E167" t="s">
        <v>26</v>
      </c>
      <c r="F167" t="s">
        <v>54</v>
      </c>
      <c r="G167" t="s">
        <v>55</v>
      </c>
      <c r="H167" t="s">
        <v>44</v>
      </c>
      <c r="I167" t="s">
        <v>30</v>
      </c>
      <c r="J167">
        <v>83</v>
      </c>
      <c r="K167">
        <v>4</v>
      </c>
      <c r="L167">
        <v>1</v>
      </c>
      <c r="M167">
        <v>116</v>
      </c>
      <c r="N167">
        <v>106</v>
      </c>
      <c r="O167">
        <v>91.4</v>
      </c>
      <c r="P167">
        <v>94.4</v>
      </c>
      <c r="Q167">
        <v>98.4</v>
      </c>
      <c r="R167">
        <v>4.7</v>
      </c>
      <c r="S167">
        <v>8.1</v>
      </c>
      <c r="T167" t="s">
        <v>46</v>
      </c>
      <c r="U167">
        <v>1</v>
      </c>
      <c r="V167">
        <v>8</v>
      </c>
    </row>
    <row r="168" spans="1:22" x14ac:dyDescent="0.3">
      <c r="A168" t="s">
        <v>339</v>
      </c>
      <c r="B168" t="s">
        <v>340</v>
      </c>
      <c r="C168" t="s">
        <v>40</v>
      </c>
      <c r="D168" t="s">
        <v>49</v>
      </c>
      <c r="E168" t="s">
        <v>50</v>
      </c>
      <c r="F168" t="s">
        <v>91</v>
      </c>
      <c r="G168" t="s">
        <v>63</v>
      </c>
      <c r="H168" t="s">
        <v>44</v>
      </c>
      <c r="I168" t="s">
        <v>51</v>
      </c>
      <c r="J168">
        <v>86</v>
      </c>
      <c r="K168">
        <v>3</v>
      </c>
      <c r="L168">
        <v>4</v>
      </c>
      <c r="M168">
        <v>156</v>
      </c>
      <c r="N168">
        <v>132</v>
      </c>
      <c r="O168">
        <v>84.6</v>
      </c>
      <c r="P168">
        <v>88.6</v>
      </c>
      <c r="Q168">
        <v>88.6</v>
      </c>
      <c r="R168">
        <v>4.2</v>
      </c>
      <c r="S168">
        <v>8.6</v>
      </c>
      <c r="T168" t="s">
        <v>31</v>
      </c>
      <c r="U168">
        <v>6</v>
      </c>
      <c r="V168">
        <v>9</v>
      </c>
    </row>
    <row r="169" spans="1:22" x14ac:dyDescent="0.3">
      <c r="A169" t="s">
        <v>341</v>
      </c>
      <c r="B169" t="s">
        <v>342</v>
      </c>
      <c r="C169" t="s">
        <v>40</v>
      </c>
      <c r="D169" t="s">
        <v>49</v>
      </c>
      <c r="E169" t="s">
        <v>71</v>
      </c>
      <c r="F169" t="s">
        <v>72</v>
      </c>
      <c r="G169" t="s">
        <v>76</v>
      </c>
      <c r="H169" t="s">
        <v>29</v>
      </c>
      <c r="I169" t="s">
        <v>37</v>
      </c>
      <c r="J169">
        <v>94</v>
      </c>
      <c r="K169">
        <v>1</v>
      </c>
      <c r="L169">
        <v>13</v>
      </c>
      <c r="M169">
        <v>124</v>
      </c>
      <c r="N169">
        <v>106</v>
      </c>
      <c r="O169">
        <v>85.5</v>
      </c>
      <c r="P169">
        <v>89.5</v>
      </c>
      <c r="Q169">
        <v>79.5</v>
      </c>
      <c r="R169">
        <v>4.2</v>
      </c>
      <c r="S169">
        <v>8.6</v>
      </c>
      <c r="T169" t="s">
        <v>31</v>
      </c>
      <c r="U169">
        <v>5</v>
      </c>
      <c r="V169">
        <v>8</v>
      </c>
    </row>
    <row r="170" spans="1:22" x14ac:dyDescent="0.3">
      <c r="A170" t="s">
        <v>343</v>
      </c>
      <c r="B170" t="s">
        <v>344</v>
      </c>
      <c r="C170" t="s">
        <v>40</v>
      </c>
      <c r="D170" t="s">
        <v>25</v>
      </c>
      <c r="E170" t="s">
        <v>67</v>
      </c>
      <c r="F170" t="s">
        <v>72</v>
      </c>
      <c r="G170" t="s">
        <v>43</v>
      </c>
      <c r="H170" t="s">
        <v>29</v>
      </c>
      <c r="I170" t="s">
        <v>57</v>
      </c>
      <c r="J170">
        <v>94</v>
      </c>
      <c r="K170">
        <v>1</v>
      </c>
      <c r="L170">
        <v>0</v>
      </c>
      <c r="M170">
        <v>157</v>
      </c>
      <c r="N170">
        <v>148</v>
      </c>
      <c r="O170">
        <v>94.3</v>
      </c>
      <c r="P170">
        <v>96.3</v>
      </c>
      <c r="Q170">
        <v>86.3</v>
      </c>
      <c r="R170">
        <v>4.9000000000000004</v>
      </c>
      <c r="S170">
        <v>8.1</v>
      </c>
      <c r="T170" t="s">
        <v>46</v>
      </c>
      <c r="U170">
        <v>2</v>
      </c>
      <c r="V170">
        <v>0</v>
      </c>
    </row>
    <row r="171" spans="1:22" x14ac:dyDescent="0.3">
      <c r="A171" t="s">
        <v>345</v>
      </c>
      <c r="B171" t="s">
        <v>33</v>
      </c>
      <c r="C171" t="s">
        <v>24</v>
      </c>
      <c r="D171" t="s">
        <v>49</v>
      </c>
      <c r="E171" t="s">
        <v>34</v>
      </c>
      <c r="F171" t="s">
        <v>35</v>
      </c>
      <c r="G171" t="s">
        <v>28</v>
      </c>
      <c r="H171" t="s">
        <v>56</v>
      </c>
      <c r="I171" t="s">
        <v>64</v>
      </c>
      <c r="J171">
        <v>92</v>
      </c>
      <c r="K171">
        <v>2</v>
      </c>
      <c r="L171">
        <v>2</v>
      </c>
      <c r="M171">
        <v>111</v>
      </c>
      <c r="N171">
        <v>101</v>
      </c>
      <c r="O171">
        <v>91</v>
      </c>
      <c r="P171">
        <v>87</v>
      </c>
      <c r="Q171">
        <v>92</v>
      </c>
      <c r="R171">
        <v>4</v>
      </c>
      <c r="S171">
        <v>7.8</v>
      </c>
      <c r="T171" t="s">
        <v>46</v>
      </c>
      <c r="U171">
        <v>2</v>
      </c>
      <c r="V171">
        <v>8</v>
      </c>
    </row>
    <row r="172" spans="1:22" x14ac:dyDescent="0.3">
      <c r="A172" t="s">
        <v>346</v>
      </c>
      <c r="B172" t="s">
        <v>347</v>
      </c>
      <c r="C172" t="s">
        <v>40</v>
      </c>
      <c r="D172" t="s">
        <v>49</v>
      </c>
      <c r="E172" t="s">
        <v>71</v>
      </c>
      <c r="F172" t="s">
        <v>42</v>
      </c>
      <c r="G172" t="s">
        <v>76</v>
      </c>
      <c r="H172" t="s">
        <v>29</v>
      </c>
      <c r="I172" t="s">
        <v>30</v>
      </c>
      <c r="J172">
        <v>95</v>
      </c>
      <c r="K172">
        <v>1</v>
      </c>
      <c r="L172">
        <v>5</v>
      </c>
      <c r="M172">
        <v>178</v>
      </c>
      <c r="N172">
        <v>166</v>
      </c>
      <c r="O172">
        <v>93.3</v>
      </c>
      <c r="P172">
        <v>89.3</v>
      </c>
      <c r="Q172">
        <v>97.3</v>
      </c>
      <c r="R172">
        <v>4.3</v>
      </c>
      <c r="S172">
        <v>8</v>
      </c>
      <c r="T172" t="s">
        <v>46</v>
      </c>
      <c r="U172">
        <v>0</v>
      </c>
      <c r="V172">
        <v>8</v>
      </c>
    </row>
    <row r="173" spans="1:22" x14ac:dyDescent="0.3">
      <c r="A173" t="s">
        <v>348</v>
      </c>
      <c r="B173" t="s">
        <v>349</v>
      </c>
      <c r="C173" t="s">
        <v>24</v>
      </c>
      <c r="D173" t="s">
        <v>49</v>
      </c>
      <c r="E173" t="s">
        <v>34</v>
      </c>
      <c r="F173" t="s">
        <v>35</v>
      </c>
      <c r="G173" t="s">
        <v>36</v>
      </c>
      <c r="H173" t="s">
        <v>44</v>
      </c>
      <c r="I173" t="s">
        <v>45</v>
      </c>
      <c r="J173">
        <v>86</v>
      </c>
      <c r="K173">
        <v>3</v>
      </c>
      <c r="L173">
        <v>25</v>
      </c>
      <c r="M173">
        <v>157</v>
      </c>
      <c r="N173">
        <v>153</v>
      </c>
      <c r="O173">
        <v>97.5</v>
      </c>
      <c r="P173">
        <v>93.5</v>
      </c>
      <c r="Q173">
        <v>102.5</v>
      </c>
      <c r="R173">
        <v>4.5999999999999996</v>
      </c>
      <c r="S173">
        <v>7.5</v>
      </c>
      <c r="T173" t="s">
        <v>46</v>
      </c>
      <c r="U173">
        <v>0</v>
      </c>
      <c r="V173">
        <v>6</v>
      </c>
    </row>
    <row r="174" spans="1:22" x14ac:dyDescent="0.3">
      <c r="A174" t="s">
        <v>350</v>
      </c>
      <c r="B174" t="s">
        <v>147</v>
      </c>
      <c r="C174" t="s">
        <v>40</v>
      </c>
      <c r="D174" t="s">
        <v>49</v>
      </c>
      <c r="E174" t="s">
        <v>50</v>
      </c>
      <c r="F174" t="s">
        <v>42</v>
      </c>
      <c r="G174" t="s">
        <v>55</v>
      </c>
      <c r="H174" t="s">
        <v>44</v>
      </c>
      <c r="I174" t="s">
        <v>51</v>
      </c>
      <c r="J174">
        <v>89</v>
      </c>
      <c r="K174">
        <v>2</v>
      </c>
      <c r="L174">
        <v>17</v>
      </c>
      <c r="M174">
        <v>97</v>
      </c>
      <c r="N174">
        <v>82</v>
      </c>
      <c r="O174">
        <v>84.5</v>
      </c>
      <c r="P174">
        <v>88.5</v>
      </c>
      <c r="Q174">
        <v>77.5</v>
      </c>
      <c r="R174">
        <v>4.0999999999999996</v>
      </c>
      <c r="S174">
        <v>8.6</v>
      </c>
      <c r="T174" t="s">
        <v>31</v>
      </c>
      <c r="U174">
        <v>7</v>
      </c>
      <c r="V174">
        <v>6</v>
      </c>
    </row>
    <row r="175" spans="1:22" x14ac:dyDescent="0.3">
      <c r="A175" t="s">
        <v>351</v>
      </c>
      <c r="B175" t="s">
        <v>78</v>
      </c>
      <c r="C175" t="s">
        <v>40</v>
      </c>
      <c r="D175" t="s">
        <v>25</v>
      </c>
      <c r="E175" t="s">
        <v>71</v>
      </c>
      <c r="F175" t="s">
        <v>35</v>
      </c>
      <c r="G175" t="s">
        <v>55</v>
      </c>
      <c r="H175" t="s">
        <v>56</v>
      </c>
      <c r="I175" t="s">
        <v>30</v>
      </c>
      <c r="J175">
        <v>92</v>
      </c>
      <c r="K175">
        <v>2</v>
      </c>
      <c r="L175">
        <v>6</v>
      </c>
      <c r="M175">
        <v>107</v>
      </c>
      <c r="N175">
        <v>93</v>
      </c>
      <c r="O175">
        <v>86.9</v>
      </c>
      <c r="P175">
        <v>85.9</v>
      </c>
      <c r="Q175">
        <v>84.9</v>
      </c>
      <c r="R175">
        <v>3.9</v>
      </c>
      <c r="S175">
        <v>8</v>
      </c>
      <c r="T175" t="s">
        <v>31</v>
      </c>
      <c r="U175">
        <v>3</v>
      </c>
      <c r="V175">
        <v>1</v>
      </c>
    </row>
    <row r="176" spans="1:22" x14ac:dyDescent="0.3">
      <c r="A176" t="s">
        <v>352</v>
      </c>
      <c r="B176" t="s">
        <v>230</v>
      </c>
      <c r="C176" t="s">
        <v>24</v>
      </c>
      <c r="D176" t="s">
        <v>49</v>
      </c>
      <c r="E176" t="s">
        <v>34</v>
      </c>
      <c r="F176" t="s">
        <v>54</v>
      </c>
      <c r="G176" t="s">
        <v>63</v>
      </c>
      <c r="H176" t="s">
        <v>56</v>
      </c>
      <c r="I176" t="s">
        <v>51</v>
      </c>
      <c r="J176">
        <v>92</v>
      </c>
      <c r="K176">
        <v>2</v>
      </c>
      <c r="L176">
        <v>20</v>
      </c>
      <c r="M176">
        <v>165</v>
      </c>
      <c r="N176">
        <v>145</v>
      </c>
      <c r="O176">
        <v>87.9</v>
      </c>
      <c r="P176">
        <v>83.9</v>
      </c>
      <c r="Q176">
        <v>87.9</v>
      </c>
      <c r="R176">
        <v>3.8</v>
      </c>
      <c r="S176">
        <v>7.9</v>
      </c>
      <c r="T176" t="s">
        <v>31</v>
      </c>
      <c r="U176">
        <v>4</v>
      </c>
      <c r="V176">
        <v>6</v>
      </c>
    </row>
    <row r="177" spans="1:22" x14ac:dyDescent="0.3">
      <c r="A177" t="s">
        <v>353</v>
      </c>
      <c r="B177" t="s">
        <v>354</v>
      </c>
      <c r="C177" t="s">
        <v>40</v>
      </c>
      <c r="D177" t="s">
        <v>49</v>
      </c>
      <c r="E177" t="s">
        <v>67</v>
      </c>
      <c r="F177" t="s">
        <v>35</v>
      </c>
      <c r="G177" t="s">
        <v>36</v>
      </c>
      <c r="H177" t="s">
        <v>56</v>
      </c>
      <c r="I177" t="s">
        <v>64</v>
      </c>
      <c r="J177">
        <v>100</v>
      </c>
      <c r="K177">
        <v>0</v>
      </c>
      <c r="L177">
        <v>16</v>
      </c>
      <c r="M177">
        <v>147</v>
      </c>
      <c r="N177">
        <v>131</v>
      </c>
      <c r="O177">
        <v>89.1</v>
      </c>
      <c r="P177">
        <v>88.1</v>
      </c>
      <c r="Q177">
        <v>86.1</v>
      </c>
      <c r="R177">
        <v>4.0999999999999996</v>
      </c>
      <c r="S177">
        <v>8.3000000000000007</v>
      </c>
      <c r="T177" t="s">
        <v>31</v>
      </c>
      <c r="U177">
        <v>4</v>
      </c>
      <c r="V177">
        <v>3</v>
      </c>
    </row>
    <row r="178" spans="1:22" x14ac:dyDescent="0.3">
      <c r="A178" t="s">
        <v>355</v>
      </c>
      <c r="B178" t="s">
        <v>356</v>
      </c>
      <c r="C178" t="s">
        <v>40</v>
      </c>
      <c r="D178" t="s">
        <v>49</v>
      </c>
      <c r="E178" t="s">
        <v>50</v>
      </c>
      <c r="F178" t="s">
        <v>72</v>
      </c>
      <c r="G178" t="s">
        <v>28</v>
      </c>
      <c r="H178" t="s">
        <v>29</v>
      </c>
      <c r="I178" t="s">
        <v>82</v>
      </c>
      <c r="J178">
        <v>98</v>
      </c>
      <c r="K178">
        <v>0</v>
      </c>
      <c r="L178">
        <v>18</v>
      </c>
      <c r="M178">
        <v>131</v>
      </c>
      <c r="N178">
        <v>124</v>
      </c>
      <c r="O178">
        <v>94.7</v>
      </c>
      <c r="P178">
        <v>98.7</v>
      </c>
      <c r="Q178">
        <v>88.7</v>
      </c>
      <c r="R178">
        <v>5</v>
      </c>
      <c r="S178">
        <v>7.9</v>
      </c>
      <c r="T178" t="s">
        <v>46</v>
      </c>
      <c r="U178">
        <v>1</v>
      </c>
      <c r="V178">
        <v>11</v>
      </c>
    </row>
    <row r="179" spans="1:22" x14ac:dyDescent="0.3">
      <c r="A179" t="s">
        <v>357</v>
      </c>
      <c r="B179" t="s">
        <v>328</v>
      </c>
      <c r="C179" t="s">
        <v>40</v>
      </c>
      <c r="D179" t="s">
        <v>49</v>
      </c>
      <c r="E179" t="s">
        <v>41</v>
      </c>
      <c r="F179" t="s">
        <v>54</v>
      </c>
      <c r="G179" t="s">
        <v>55</v>
      </c>
      <c r="H179" t="s">
        <v>29</v>
      </c>
      <c r="I179" t="s">
        <v>45</v>
      </c>
      <c r="J179">
        <v>88</v>
      </c>
      <c r="K179">
        <v>3</v>
      </c>
      <c r="L179">
        <v>1</v>
      </c>
      <c r="M179">
        <v>103</v>
      </c>
      <c r="N179">
        <v>100</v>
      </c>
      <c r="O179">
        <v>97.1</v>
      </c>
      <c r="P179">
        <v>100</v>
      </c>
      <c r="Q179">
        <v>99.1</v>
      </c>
      <c r="R179">
        <v>5</v>
      </c>
      <c r="S179">
        <v>7.7</v>
      </c>
      <c r="T179" t="s">
        <v>46</v>
      </c>
      <c r="U179">
        <v>0</v>
      </c>
      <c r="V179">
        <v>9</v>
      </c>
    </row>
    <row r="180" spans="1:22" x14ac:dyDescent="0.3">
      <c r="A180" t="s">
        <v>358</v>
      </c>
      <c r="B180" t="s">
        <v>171</v>
      </c>
      <c r="C180" t="s">
        <v>40</v>
      </c>
      <c r="D180" t="s">
        <v>25</v>
      </c>
      <c r="E180" t="s">
        <v>41</v>
      </c>
      <c r="F180" t="s">
        <v>72</v>
      </c>
      <c r="G180" t="s">
        <v>43</v>
      </c>
      <c r="H180" t="s">
        <v>44</v>
      </c>
      <c r="I180" t="s">
        <v>60</v>
      </c>
      <c r="J180">
        <v>93</v>
      </c>
      <c r="K180">
        <v>1</v>
      </c>
      <c r="L180">
        <v>25</v>
      </c>
      <c r="M180">
        <v>110</v>
      </c>
      <c r="N180">
        <v>98</v>
      </c>
      <c r="O180">
        <v>89.1</v>
      </c>
      <c r="P180">
        <v>90.1</v>
      </c>
      <c r="Q180">
        <v>92.1</v>
      </c>
      <c r="R180">
        <v>4.2</v>
      </c>
      <c r="S180">
        <v>7.8</v>
      </c>
      <c r="T180" t="s">
        <v>31</v>
      </c>
      <c r="U180">
        <v>4</v>
      </c>
      <c r="V180">
        <v>3</v>
      </c>
    </row>
    <row r="181" spans="1:22" x14ac:dyDescent="0.3">
      <c r="A181" t="s">
        <v>359</v>
      </c>
      <c r="B181" t="s">
        <v>208</v>
      </c>
      <c r="C181" t="s">
        <v>24</v>
      </c>
      <c r="D181" t="s">
        <v>25</v>
      </c>
      <c r="E181" t="s">
        <v>41</v>
      </c>
      <c r="F181" t="s">
        <v>35</v>
      </c>
      <c r="G181" t="s">
        <v>36</v>
      </c>
      <c r="H181" t="s">
        <v>56</v>
      </c>
      <c r="I181" t="s">
        <v>60</v>
      </c>
      <c r="J181">
        <v>82</v>
      </c>
      <c r="K181">
        <v>4</v>
      </c>
      <c r="L181">
        <v>2</v>
      </c>
      <c r="M181">
        <v>95</v>
      </c>
      <c r="N181">
        <v>91</v>
      </c>
      <c r="O181">
        <v>95.8</v>
      </c>
      <c r="P181">
        <v>94.8</v>
      </c>
      <c r="Q181">
        <v>91.8</v>
      </c>
      <c r="R181">
        <v>4.7</v>
      </c>
      <c r="S181">
        <v>7.5</v>
      </c>
      <c r="T181" t="s">
        <v>46</v>
      </c>
      <c r="U181">
        <v>0</v>
      </c>
      <c r="V181">
        <v>4</v>
      </c>
    </row>
    <row r="182" spans="1:22" x14ac:dyDescent="0.3">
      <c r="A182" t="s">
        <v>360</v>
      </c>
      <c r="B182" t="s">
        <v>361</v>
      </c>
      <c r="C182" t="s">
        <v>24</v>
      </c>
      <c r="D182" t="s">
        <v>25</v>
      </c>
      <c r="E182" t="s">
        <v>67</v>
      </c>
      <c r="F182" t="s">
        <v>35</v>
      </c>
      <c r="G182" t="s">
        <v>36</v>
      </c>
      <c r="H182" t="s">
        <v>44</v>
      </c>
      <c r="I182" t="s">
        <v>57</v>
      </c>
      <c r="J182">
        <v>100</v>
      </c>
      <c r="K182">
        <v>0</v>
      </c>
      <c r="L182">
        <v>7</v>
      </c>
      <c r="M182">
        <v>96</v>
      </c>
      <c r="N182">
        <v>96</v>
      </c>
      <c r="O182">
        <v>100</v>
      </c>
      <c r="P182">
        <v>100</v>
      </c>
      <c r="Q182">
        <v>99</v>
      </c>
      <c r="R182">
        <v>5</v>
      </c>
      <c r="S182">
        <v>7.3</v>
      </c>
      <c r="T182" t="s">
        <v>46</v>
      </c>
      <c r="U182">
        <v>2</v>
      </c>
      <c r="V182">
        <v>1</v>
      </c>
    </row>
    <row r="183" spans="1:22" x14ac:dyDescent="0.3">
      <c r="A183" t="s">
        <v>362</v>
      </c>
      <c r="B183" t="s">
        <v>39</v>
      </c>
      <c r="C183" t="s">
        <v>40</v>
      </c>
      <c r="D183" t="s">
        <v>25</v>
      </c>
      <c r="E183" t="s">
        <v>67</v>
      </c>
      <c r="F183" t="s">
        <v>54</v>
      </c>
      <c r="G183" t="s">
        <v>55</v>
      </c>
      <c r="H183" t="s">
        <v>44</v>
      </c>
      <c r="I183" t="s">
        <v>73</v>
      </c>
      <c r="J183">
        <v>100</v>
      </c>
      <c r="K183">
        <v>0</v>
      </c>
      <c r="L183">
        <v>3</v>
      </c>
      <c r="M183">
        <v>158</v>
      </c>
      <c r="N183">
        <v>136</v>
      </c>
      <c r="O183">
        <v>86.1</v>
      </c>
      <c r="P183">
        <v>89.1</v>
      </c>
      <c r="Q183">
        <v>78.099999999999994</v>
      </c>
      <c r="R183">
        <v>4.2</v>
      </c>
      <c r="S183">
        <v>8.4</v>
      </c>
      <c r="T183" t="s">
        <v>31</v>
      </c>
      <c r="U183">
        <v>5</v>
      </c>
      <c r="V183">
        <v>3</v>
      </c>
    </row>
    <row r="184" spans="1:22" x14ac:dyDescent="0.3">
      <c r="A184" t="s">
        <v>363</v>
      </c>
      <c r="B184" t="s">
        <v>364</v>
      </c>
      <c r="C184" t="s">
        <v>40</v>
      </c>
      <c r="D184" t="s">
        <v>25</v>
      </c>
      <c r="E184" t="s">
        <v>41</v>
      </c>
      <c r="F184" t="s">
        <v>91</v>
      </c>
      <c r="G184" t="s">
        <v>76</v>
      </c>
      <c r="H184" t="s">
        <v>44</v>
      </c>
      <c r="I184" t="s">
        <v>60</v>
      </c>
      <c r="J184">
        <v>93</v>
      </c>
      <c r="K184">
        <v>1</v>
      </c>
      <c r="L184">
        <v>10</v>
      </c>
      <c r="M184">
        <v>124</v>
      </c>
      <c r="N184">
        <v>123</v>
      </c>
      <c r="O184">
        <v>99.2</v>
      </c>
      <c r="P184">
        <v>99.2</v>
      </c>
      <c r="Q184">
        <v>102.2</v>
      </c>
      <c r="R184">
        <v>5</v>
      </c>
      <c r="S184">
        <v>7.7</v>
      </c>
      <c r="T184" t="s">
        <v>46</v>
      </c>
      <c r="U184">
        <v>2</v>
      </c>
      <c r="V184">
        <v>6</v>
      </c>
    </row>
    <row r="185" spans="1:22" x14ac:dyDescent="0.3">
      <c r="A185" t="s">
        <v>365</v>
      </c>
      <c r="B185" t="s">
        <v>366</v>
      </c>
      <c r="C185" t="s">
        <v>24</v>
      </c>
      <c r="D185" t="s">
        <v>49</v>
      </c>
      <c r="E185" t="s">
        <v>71</v>
      </c>
      <c r="F185" t="s">
        <v>54</v>
      </c>
      <c r="G185" t="s">
        <v>36</v>
      </c>
      <c r="H185" t="s">
        <v>56</v>
      </c>
      <c r="I185" t="s">
        <v>57</v>
      </c>
      <c r="J185">
        <v>91</v>
      </c>
      <c r="K185">
        <v>2</v>
      </c>
      <c r="L185">
        <v>1</v>
      </c>
      <c r="M185">
        <v>131</v>
      </c>
      <c r="N185">
        <v>117</v>
      </c>
      <c r="O185">
        <v>89.3</v>
      </c>
      <c r="P185">
        <v>85.3</v>
      </c>
      <c r="Q185">
        <v>91.3</v>
      </c>
      <c r="R185">
        <v>4</v>
      </c>
      <c r="S185">
        <v>8.1</v>
      </c>
      <c r="T185" t="s">
        <v>31</v>
      </c>
      <c r="U185">
        <v>4</v>
      </c>
      <c r="V185">
        <v>0</v>
      </c>
    </row>
    <row r="186" spans="1:22" x14ac:dyDescent="0.3">
      <c r="A186" t="s">
        <v>367</v>
      </c>
      <c r="B186" t="s">
        <v>368</v>
      </c>
      <c r="C186" t="s">
        <v>24</v>
      </c>
      <c r="D186" t="s">
        <v>49</v>
      </c>
      <c r="E186" t="s">
        <v>34</v>
      </c>
      <c r="F186" t="s">
        <v>27</v>
      </c>
      <c r="G186" t="s">
        <v>63</v>
      </c>
      <c r="H186" t="s">
        <v>44</v>
      </c>
      <c r="I186" t="s">
        <v>60</v>
      </c>
      <c r="J186">
        <v>84</v>
      </c>
      <c r="K186">
        <v>4</v>
      </c>
      <c r="L186">
        <v>14</v>
      </c>
      <c r="M186">
        <v>176</v>
      </c>
      <c r="N186">
        <v>167</v>
      </c>
      <c r="O186">
        <v>94.9</v>
      </c>
      <c r="P186">
        <v>91.9</v>
      </c>
      <c r="Q186">
        <v>91.9</v>
      </c>
      <c r="R186">
        <v>4.4000000000000004</v>
      </c>
      <c r="S186">
        <v>7.8</v>
      </c>
      <c r="T186" t="s">
        <v>46</v>
      </c>
      <c r="U186">
        <v>1</v>
      </c>
      <c r="V186">
        <v>8</v>
      </c>
    </row>
    <row r="187" spans="1:22" x14ac:dyDescent="0.3">
      <c r="A187" t="s">
        <v>369</v>
      </c>
      <c r="B187" t="s">
        <v>143</v>
      </c>
      <c r="C187" t="s">
        <v>24</v>
      </c>
      <c r="D187" t="s">
        <v>49</v>
      </c>
      <c r="E187" t="s">
        <v>50</v>
      </c>
      <c r="F187" t="s">
        <v>72</v>
      </c>
      <c r="G187" t="s">
        <v>76</v>
      </c>
      <c r="H187" t="s">
        <v>44</v>
      </c>
      <c r="I187" t="s">
        <v>68</v>
      </c>
      <c r="J187">
        <v>86</v>
      </c>
      <c r="K187">
        <v>3</v>
      </c>
      <c r="L187">
        <v>19</v>
      </c>
      <c r="M187">
        <v>92</v>
      </c>
      <c r="N187">
        <v>79</v>
      </c>
      <c r="O187">
        <v>85.9</v>
      </c>
      <c r="P187">
        <v>86.9</v>
      </c>
      <c r="Q187">
        <v>77.900000000000006</v>
      </c>
      <c r="R187">
        <v>3.9</v>
      </c>
      <c r="S187">
        <v>8.3000000000000007</v>
      </c>
      <c r="T187" t="s">
        <v>31</v>
      </c>
      <c r="U187">
        <v>4</v>
      </c>
      <c r="V187">
        <v>4</v>
      </c>
    </row>
    <row r="188" spans="1:22" x14ac:dyDescent="0.3">
      <c r="A188" t="s">
        <v>370</v>
      </c>
      <c r="B188" t="s">
        <v>306</v>
      </c>
      <c r="C188" t="s">
        <v>24</v>
      </c>
      <c r="D188" t="s">
        <v>25</v>
      </c>
      <c r="E188" t="s">
        <v>67</v>
      </c>
      <c r="F188" t="s">
        <v>27</v>
      </c>
      <c r="G188" t="s">
        <v>55</v>
      </c>
      <c r="H188" t="s">
        <v>56</v>
      </c>
      <c r="I188" t="s">
        <v>64</v>
      </c>
      <c r="J188">
        <v>82</v>
      </c>
      <c r="K188">
        <v>4</v>
      </c>
      <c r="L188">
        <v>10</v>
      </c>
      <c r="M188">
        <v>132</v>
      </c>
      <c r="N188">
        <v>113</v>
      </c>
      <c r="O188">
        <v>85.6</v>
      </c>
      <c r="P188">
        <v>84.6</v>
      </c>
      <c r="Q188">
        <v>90.6</v>
      </c>
      <c r="R188">
        <v>4</v>
      </c>
      <c r="S188">
        <v>8.4</v>
      </c>
      <c r="T188" t="s">
        <v>31</v>
      </c>
      <c r="U188">
        <v>6</v>
      </c>
      <c r="V188">
        <v>7</v>
      </c>
    </row>
    <row r="189" spans="1:22" x14ac:dyDescent="0.3">
      <c r="A189" t="s">
        <v>371</v>
      </c>
      <c r="B189" t="s">
        <v>372</v>
      </c>
      <c r="C189" t="s">
        <v>40</v>
      </c>
      <c r="D189" t="s">
        <v>49</v>
      </c>
      <c r="E189" t="s">
        <v>41</v>
      </c>
      <c r="F189" t="s">
        <v>35</v>
      </c>
      <c r="G189" t="s">
        <v>43</v>
      </c>
      <c r="H189" t="s">
        <v>44</v>
      </c>
      <c r="I189" t="s">
        <v>57</v>
      </c>
      <c r="J189">
        <v>91</v>
      </c>
      <c r="K189">
        <v>2</v>
      </c>
      <c r="L189">
        <v>15</v>
      </c>
      <c r="M189">
        <v>150</v>
      </c>
      <c r="N189">
        <v>137</v>
      </c>
      <c r="O189">
        <v>91.3</v>
      </c>
      <c r="P189">
        <v>88.3</v>
      </c>
      <c r="Q189">
        <v>94.3</v>
      </c>
      <c r="R189">
        <v>4.2</v>
      </c>
      <c r="S189">
        <v>7.6</v>
      </c>
      <c r="T189" t="s">
        <v>46</v>
      </c>
      <c r="U189">
        <v>0</v>
      </c>
      <c r="V189">
        <v>2</v>
      </c>
    </row>
    <row r="190" spans="1:22" x14ac:dyDescent="0.3">
      <c r="A190" t="s">
        <v>373</v>
      </c>
      <c r="B190" t="s">
        <v>374</v>
      </c>
      <c r="C190" t="s">
        <v>40</v>
      </c>
      <c r="D190" t="s">
        <v>25</v>
      </c>
      <c r="E190" t="s">
        <v>67</v>
      </c>
      <c r="F190" t="s">
        <v>27</v>
      </c>
      <c r="G190" t="s">
        <v>63</v>
      </c>
      <c r="H190" t="s">
        <v>44</v>
      </c>
      <c r="I190" t="s">
        <v>82</v>
      </c>
      <c r="J190">
        <v>83</v>
      </c>
      <c r="K190">
        <v>4</v>
      </c>
      <c r="L190">
        <v>13</v>
      </c>
      <c r="M190">
        <v>106</v>
      </c>
      <c r="N190">
        <v>103</v>
      </c>
      <c r="O190">
        <v>97.2</v>
      </c>
      <c r="P190">
        <v>96.2</v>
      </c>
      <c r="Q190">
        <v>99.2</v>
      </c>
      <c r="R190">
        <v>4.8</v>
      </c>
      <c r="S190">
        <v>7.1</v>
      </c>
      <c r="T190" t="s">
        <v>46</v>
      </c>
      <c r="U190">
        <v>2</v>
      </c>
      <c r="V190">
        <v>7</v>
      </c>
    </row>
    <row r="191" spans="1:22" x14ac:dyDescent="0.3">
      <c r="A191" t="s">
        <v>375</v>
      </c>
      <c r="B191" t="s">
        <v>376</v>
      </c>
      <c r="C191" t="s">
        <v>24</v>
      </c>
      <c r="D191" t="s">
        <v>25</v>
      </c>
      <c r="E191" t="s">
        <v>34</v>
      </c>
      <c r="F191" t="s">
        <v>42</v>
      </c>
      <c r="G191" t="s">
        <v>28</v>
      </c>
      <c r="H191" t="s">
        <v>29</v>
      </c>
      <c r="I191" t="s">
        <v>68</v>
      </c>
      <c r="J191">
        <v>86</v>
      </c>
      <c r="K191">
        <v>3</v>
      </c>
      <c r="L191">
        <v>24</v>
      </c>
      <c r="M191">
        <v>107</v>
      </c>
      <c r="N191">
        <v>105</v>
      </c>
      <c r="O191">
        <v>98.1</v>
      </c>
      <c r="P191">
        <v>100</v>
      </c>
      <c r="Q191">
        <v>99.1</v>
      </c>
      <c r="R191">
        <v>5</v>
      </c>
      <c r="S191">
        <v>7.7</v>
      </c>
      <c r="T191" t="s">
        <v>46</v>
      </c>
      <c r="U191">
        <v>1</v>
      </c>
      <c r="V191">
        <v>7</v>
      </c>
    </row>
    <row r="192" spans="1:22" x14ac:dyDescent="0.3">
      <c r="A192" t="s">
        <v>377</v>
      </c>
      <c r="B192" t="s">
        <v>378</v>
      </c>
      <c r="C192" t="s">
        <v>24</v>
      </c>
      <c r="D192" t="s">
        <v>25</v>
      </c>
      <c r="E192" t="s">
        <v>41</v>
      </c>
      <c r="F192" t="s">
        <v>54</v>
      </c>
      <c r="G192" t="s">
        <v>43</v>
      </c>
      <c r="H192" t="s">
        <v>44</v>
      </c>
      <c r="I192" t="s">
        <v>51</v>
      </c>
      <c r="J192">
        <v>92</v>
      </c>
      <c r="K192">
        <v>2</v>
      </c>
      <c r="L192">
        <v>11</v>
      </c>
      <c r="M192">
        <v>131</v>
      </c>
      <c r="N192">
        <v>112</v>
      </c>
      <c r="O192">
        <v>85.5</v>
      </c>
      <c r="P192">
        <v>81.5</v>
      </c>
      <c r="Q192">
        <v>84.5</v>
      </c>
      <c r="R192">
        <v>3.7</v>
      </c>
      <c r="S192">
        <v>8.9</v>
      </c>
      <c r="T192" t="s">
        <v>31</v>
      </c>
      <c r="U192">
        <v>5</v>
      </c>
      <c r="V192">
        <v>8</v>
      </c>
    </row>
    <row r="193" spans="1:22" x14ac:dyDescent="0.3">
      <c r="A193" t="s">
        <v>379</v>
      </c>
      <c r="B193" t="s">
        <v>66</v>
      </c>
      <c r="C193" t="s">
        <v>24</v>
      </c>
      <c r="D193" t="s">
        <v>49</v>
      </c>
      <c r="E193" t="s">
        <v>34</v>
      </c>
      <c r="F193" t="s">
        <v>72</v>
      </c>
      <c r="G193" t="s">
        <v>63</v>
      </c>
      <c r="H193" t="s">
        <v>56</v>
      </c>
      <c r="I193" t="s">
        <v>64</v>
      </c>
      <c r="J193">
        <v>82</v>
      </c>
      <c r="K193">
        <v>4</v>
      </c>
      <c r="L193">
        <v>3</v>
      </c>
      <c r="M193">
        <v>168</v>
      </c>
      <c r="N193">
        <v>140</v>
      </c>
      <c r="O193">
        <v>83.3</v>
      </c>
      <c r="P193">
        <v>81.3</v>
      </c>
      <c r="Q193">
        <v>91.3</v>
      </c>
      <c r="R193">
        <v>3.5</v>
      </c>
      <c r="S193">
        <v>8.5</v>
      </c>
      <c r="T193" t="s">
        <v>31</v>
      </c>
      <c r="U193">
        <v>6</v>
      </c>
      <c r="V193">
        <v>4</v>
      </c>
    </row>
    <row r="194" spans="1:22" x14ac:dyDescent="0.3">
      <c r="A194" t="s">
        <v>380</v>
      </c>
      <c r="B194" t="s">
        <v>366</v>
      </c>
      <c r="C194" t="s">
        <v>40</v>
      </c>
      <c r="D194" t="s">
        <v>25</v>
      </c>
      <c r="E194" t="s">
        <v>50</v>
      </c>
      <c r="F194" t="s">
        <v>27</v>
      </c>
      <c r="G194" t="s">
        <v>63</v>
      </c>
      <c r="H194" t="s">
        <v>56</v>
      </c>
      <c r="I194" t="s">
        <v>60</v>
      </c>
      <c r="J194">
        <v>92</v>
      </c>
      <c r="K194">
        <v>2</v>
      </c>
      <c r="L194">
        <v>20</v>
      </c>
      <c r="M194">
        <v>111</v>
      </c>
      <c r="N194">
        <v>111</v>
      </c>
      <c r="O194">
        <v>100</v>
      </c>
      <c r="P194">
        <v>100</v>
      </c>
      <c r="Q194">
        <v>104</v>
      </c>
      <c r="R194">
        <v>5</v>
      </c>
      <c r="S194">
        <v>6.9</v>
      </c>
      <c r="T194" t="s">
        <v>46</v>
      </c>
      <c r="U194">
        <v>2</v>
      </c>
      <c r="V194">
        <v>8</v>
      </c>
    </row>
    <row r="195" spans="1:22" x14ac:dyDescent="0.3">
      <c r="A195" t="s">
        <v>381</v>
      </c>
      <c r="B195" t="s">
        <v>117</v>
      </c>
      <c r="C195" t="s">
        <v>40</v>
      </c>
      <c r="D195" t="s">
        <v>25</v>
      </c>
      <c r="E195" t="s">
        <v>26</v>
      </c>
      <c r="F195" t="s">
        <v>72</v>
      </c>
      <c r="G195" t="s">
        <v>28</v>
      </c>
      <c r="H195" t="s">
        <v>44</v>
      </c>
      <c r="I195" t="s">
        <v>45</v>
      </c>
      <c r="J195">
        <v>82</v>
      </c>
      <c r="K195">
        <v>4</v>
      </c>
      <c r="L195">
        <v>21</v>
      </c>
      <c r="M195">
        <v>160</v>
      </c>
      <c r="N195">
        <v>149</v>
      </c>
      <c r="O195">
        <v>93.1</v>
      </c>
      <c r="P195">
        <v>93.1</v>
      </c>
      <c r="Q195">
        <v>85.1</v>
      </c>
      <c r="R195">
        <v>4.5</v>
      </c>
      <c r="S195">
        <v>7.4</v>
      </c>
      <c r="T195" t="s">
        <v>46</v>
      </c>
      <c r="U195">
        <v>2</v>
      </c>
      <c r="V195">
        <v>3</v>
      </c>
    </row>
    <row r="196" spans="1:22" x14ac:dyDescent="0.3">
      <c r="A196" t="s">
        <v>382</v>
      </c>
      <c r="B196" t="s">
        <v>361</v>
      </c>
      <c r="C196" t="s">
        <v>24</v>
      </c>
      <c r="D196" t="s">
        <v>49</v>
      </c>
      <c r="E196" t="s">
        <v>71</v>
      </c>
      <c r="F196" t="s">
        <v>27</v>
      </c>
      <c r="G196" t="s">
        <v>36</v>
      </c>
      <c r="H196" t="s">
        <v>44</v>
      </c>
      <c r="I196" t="s">
        <v>60</v>
      </c>
      <c r="J196">
        <v>97</v>
      </c>
      <c r="K196">
        <v>0</v>
      </c>
      <c r="L196">
        <v>25</v>
      </c>
      <c r="M196">
        <v>150</v>
      </c>
      <c r="N196">
        <v>145</v>
      </c>
      <c r="O196">
        <v>96.7</v>
      </c>
      <c r="P196">
        <v>93.7</v>
      </c>
      <c r="Q196">
        <v>101.7</v>
      </c>
      <c r="R196">
        <v>4.7</v>
      </c>
      <c r="S196">
        <v>7.9</v>
      </c>
      <c r="T196" t="s">
        <v>46</v>
      </c>
      <c r="U196">
        <v>1</v>
      </c>
      <c r="V196">
        <v>0</v>
      </c>
    </row>
    <row r="197" spans="1:22" x14ac:dyDescent="0.3">
      <c r="A197" t="s">
        <v>383</v>
      </c>
      <c r="B197" t="s">
        <v>384</v>
      </c>
      <c r="C197" t="s">
        <v>24</v>
      </c>
      <c r="D197" t="s">
        <v>25</v>
      </c>
      <c r="E197" t="s">
        <v>50</v>
      </c>
      <c r="F197" t="s">
        <v>42</v>
      </c>
      <c r="G197" t="s">
        <v>55</v>
      </c>
      <c r="H197" t="s">
        <v>56</v>
      </c>
      <c r="I197" t="s">
        <v>82</v>
      </c>
      <c r="J197">
        <v>97</v>
      </c>
      <c r="K197">
        <v>0</v>
      </c>
      <c r="L197">
        <v>15</v>
      </c>
      <c r="M197">
        <v>133</v>
      </c>
      <c r="N197">
        <v>113</v>
      </c>
      <c r="O197">
        <v>85</v>
      </c>
      <c r="P197">
        <v>82</v>
      </c>
      <c r="Q197">
        <v>87</v>
      </c>
      <c r="R197">
        <v>3.6</v>
      </c>
      <c r="S197">
        <v>8.1999999999999993</v>
      </c>
      <c r="T197" t="s">
        <v>31</v>
      </c>
      <c r="U197">
        <v>5</v>
      </c>
      <c r="V197">
        <v>0</v>
      </c>
    </row>
    <row r="198" spans="1:22" x14ac:dyDescent="0.3">
      <c r="A198" t="s">
        <v>385</v>
      </c>
      <c r="B198" t="s">
        <v>234</v>
      </c>
      <c r="C198" t="s">
        <v>40</v>
      </c>
      <c r="D198" t="s">
        <v>25</v>
      </c>
      <c r="E198" t="s">
        <v>50</v>
      </c>
      <c r="F198" t="s">
        <v>54</v>
      </c>
      <c r="G198" t="s">
        <v>76</v>
      </c>
      <c r="H198" t="s">
        <v>56</v>
      </c>
      <c r="I198" t="s">
        <v>57</v>
      </c>
      <c r="J198">
        <v>98</v>
      </c>
      <c r="K198">
        <v>0</v>
      </c>
      <c r="L198">
        <v>21</v>
      </c>
      <c r="M198">
        <v>164</v>
      </c>
      <c r="N198">
        <v>151</v>
      </c>
      <c r="O198">
        <v>92.1</v>
      </c>
      <c r="P198">
        <v>92.1</v>
      </c>
      <c r="Q198">
        <v>94.1</v>
      </c>
      <c r="R198">
        <v>4.5</v>
      </c>
      <c r="S198">
        <v>7.7</v>
      </c>
      <c r="T198" t="s">
        <v>46</v>
      </c>
      <c r="U198">
        <v>2</v>
      </c>
      <c r="V198">
        <v>2</v>
      </c>
    </row>
    <row r="199" spans="1:22" x14ac:dyDescent="0.3">
      <c r="A199" t="s">
        <v>386</v>
      </c>
      <c r="B199" t="s">
        <v>387</v>
      </c>
      <c r="C199" t="s">
        <v>24</v>
      </c>
      <c r="D199" t="s">
        <v>25</v>
      </c>
      <c r="E199" t="s">
        <v>67</v>
      </c>
      <c r="F199" t="s">
        <v>42</v>
      </c>
      <c r="G199" t="s">
        <v>28</v>
      </c>
      <c r="H199" t="s">
        <v>29</v>
      </c>
      <c r="I199" t="s">
        <v>51</v>
      </c>
      <c r="J199">
        <v>97</v>
      </c>
      <c r="K199">
        <v>0</v>
      </c>
      <c r="L199">
        <v>14</v>
      </c>
      <c r="M199">
        <v>157</v>
      </c>
      <c r="N199">
        <v>138</v>
      </c>
      <c r="O199">
        <v>87.9</v>
      </c>
      <c r="P199">
        <v>85.9</v>
      </c>
      <c r="Q199">
        <v>86.9</v>
      </c>
      <c r="R199">
        <v>4</v>
      </c>
      <c r="S199">
        <v>8</v>
      </c>
      <c r="T199" t="s">
        <v>31</v>
      </c>
      <c r="U199">
        <v>3</v>
      </c>
      <c r="V199">
        <v>1</v>
      </c>
    </row>
    <row r="200" spans="1:22" x14ac:dyDescent="0.3">
      <c r="A200" t="s">
        <v>388</v>
      </c>
      <c r="B200" t="s">
        <v>389</v>
      </c>
      <c r="C200" t="s">
        <v>40</v>
      </c>
      <c r="D200" t="s">
        <v>25</v>
      </c>
      <c r="E200" t="s">
        <v>41</v>
      </c>
      <c r="F200" t="s">
        <v>35</v>
      </c>
      <c r="G200" t="s">
        <v>55</v>
      </c>
      <c r="H200" t="s">
        <v>44</v>
      </c>
      <c r="I200" t="s">
        <v>92</v>
      </c>
      <c r="J200">
        <v>91</v>
      </c>
      <c r="K200">
        <v>2</v>
      </c>
      <c r="L200">
        <v>0</v>
      </c>
      <c r="M200">
        <v>148</v>
      </c>
      <c r="N200">
        <v>134</v>
      </c>
      <c r="O200">
        <v>90.5</v>
      </c>
      <c r="P200">
        <v>86.5</v>
      </c>
      <c r="Q200">
        <v>95.5</v>
      </c>
      <c r="R200">
        <v>4</v>
      </c>
      <c r="S200">
        <v>7.8</v>
      </c>
      <c r="T200" t="s">
        <v>46</v>
      </c>
      <c r="U200">
        <v>2</v>
      </c>
      <c r="V200">
        <v>0</v>
      </c>
    </row>
    <row r="201" spans="1:22" x14ac:dyDescent="0.3">
      <c r="A201" t="s">
        <v>390</v>
      </c>
      <c r="B201" t="s">
        <v>306</v>
      </c>
      <c r="C201" t="s">
        <v>24</v>
      </c>
      <c r="D201" t="s">
        <v>49</v>
      </c>
      <c r="E201" t="s">
        <v>26</v>
      </c>
      <c r="F201" t="s">
        <v>35</v>
      </c>
      <c r="G201" t="s">
        <v>43</v>
      </c>
      <c r="H201" t="s">
        <v>29</v>
      </c>
      <c r="I201" t="s">
        <v>57</v>
      </c>
      <c r="J201">
        <v>94</v>
      </c>
      <c r="K201">
        <v>1</v>
      </c>
      <c r="L201">
        <v>20</v>
      </c>
      <c r="M201">
        <v>103</v>
      </c>
      <c r="N201">
        <v>94</v>
      </c>
      <c r="O201">
        <v>91.3</v>
      </c>
      <c r="P201">
        <v>95.3</v>
      </c>
      <c r="Q201">
        <v>93.3</v>
      </c>
      <c r="R201">
        <v>4.9000000000000004</v>
      </c>
      <c r="S201">
        <v>8.1</v>
      </c>
      <c r="T201" t="s">
        <v>46</v>
      </c>
      <c r="U201">
        <v>2</v>
      </c>
      <c r="V201">
        <v>10</v>
      </c>
    </row>
    <row r="202" spans="1:22" x14ac:dyDescent="0.3">
      <c r="A202" t="s">
        <v>391</v>
      </c>
      <c r="B202" t="s">
        <v>392</v>
      </c>
      <c r="C202" t="s">
        <v>24</v>
      </c>
      <c r="D202" t="s">
        <v>49</v>
      </c>
      <c r="E202" t="s">
        <v>34</v>
      </c>
      <c r="F202" t="s">
        <v>54</v>
      </c>
      <c r="G202" t="s">
        <v>63</v>
      </c>
      <c r="H202" t="s">
        <v>56</v>
      </c>
      <c r="I202" t="s">
        <v>73</v>
      </c>
      <c r="J202">
        <v>97</v>
      </c>
      <c r="K202">
        <v>0</v>
      </c>
      <c r="L202">
        <v>4</v>
      </c>
      <c r="M202">
        <v>163</v>
      </c>
      <c r="N202">
        <v>144</v>
      </c>
      <c r="O202">
        <v>88.3</v>
      </c>
      <c r="P202">
        <v>92.3</v>
      </c>
      <c r="Q202">
        <v>96.3</v>
      </c>
      <c r="R202">
        <v>4.5999999999999996</v>
      </c>
      <c r="S202">
        <v>8.1999999999999993</v>
      </c>
      <c r="T202" t="s">
        <v>31</v>
      </c>
      <c r="U202">
        <v>4</v>
      </c>
      <c r="V202">
        <v>5</v>
      </c>
    </row>
    <row r="203" spans="1:22" x14ac:dyDescent="0.3">
      <c r="A203" t="s">
        <v>393</v>
      </c>
      <c r="B203" t="s">
        <v>33</v>
      </c>
      <c r="C203" t="s">
        <v>24</v>
      </c>
      <c r="D203" t="s">
        <v>25</v>
      </c>
      <c r="E203" t="s">
        <v>50</v>
      </c>
      <c r="F203" t="s">
        <v>91</v>
      </c>
      <c r="G203" t="s">
        <v>36</v>
      </c>
      <c r="H203" t="s">
        <v>44</v>
      </c>
      <c r="I203" t="s">
        <v>30</v>
      </c>
      <c r="J203">
        <v>85</v>
      </c>
      <c r="K203">
        <v>3</v>
      </c>
      <c r="L203">
        <v>18</v>
      </c>
      <c r="M203">
        <v>166</v>
      </c>
      <c r="N203">
        <v>158</v>
      </c>
      <c r="O203">
        <v>95.2</v>
      </c>
      <c r="P203">
        <v>92.2</v>
      </c>
      <c r="Q203">
        <v>92.2</v>
      </c>
      <c r="R203">
        <v>4.5</v>
      </c>
      <c r="S203">
        <v>8</v>
      </c>
      <c r="T203" t="s">
        <v>46</v>
      </c>
      <c r="U203">
        <v>2</v>
      </c>
      <c r="V203">
        <v>4</v>
      </c>
    </row>
    <row r="204" spans="1:22" x14ac:dyDescent="0.3">
      <c r="A204" t="s">
        <v>394</v>
      </c>
      <c r="B204" t="s">
        <v>395</v>
      </c>
      <c r="C204" t="s">
        <v>40</v>
      </c>
      <c r="D204" t="s">
        <v>49</v>
      </c>
      <c r="E204" t="s">
        <v>71</v>
      </c>
      <c r="F204" t="s">
        <v>54</v>
      </c>
      <c r="G204" t="s">
        <v>55</v>
      </c>
      <c r="H204" t="s">
        <v>44</v>
      </c>
      <c r="I204" t="s">
        <v>37</v>
      </c>
      <c r="J204">
        <v>94</v>
      </c>
      <c r="K204">
        <v>1</v>
      </c>
      <c r="L204">
        <v>15</v>
      </c>
      <c r="M204">
        <v>134</v>
      </c>
      <c r="N204">
        <v>126</v>
      </c>
      <c r="O204">
        <v>94</v>
      </c>
      <c r="P204">
        <v>92</v>
      </c>
      <c r="Q204">
        <v>100</v>
      </c>
      <c r="R204">
        <v>4.5999999999999996</v>
      </c>
      <c r="S204">
        <v>7.8</v>
      </c>
      <c r="T204" t="s">
        <v>46</v>
      </c>
      <c r="U204">
        <v>1</v>
      </c>
      <c r="V204">
        <v>9</v>
      </c>
    </row>
    <row r="205" spans="1:22" x14ac:dyDescent="0.3">
      <c r="A205" t="s">
        <v>396</v>
      </c>
      <c r="B205" t="s">
        <v>374</v>
      </c>
      <c r="C205" t="s">
        <v>24</v>
      </c>
      <c r="D205" t="s">
        <v>25</v>
      </c>
      <c r="E205" t="s">
        <v>26</v>
      </c>
      <c r="F205" t="s">
        <v>91</v>
      </c>
      <c r="G205" t="s">
        <v>36</v>
      </c>
      <c r="H205" t="s">
        <v>29</v>
      </c>
      <c r="I205" t="s">
        <v>79</v>
      </c>
      <c r="J205">
        <v>85</v>
      </c>
      <c r="K205">
        <v>3</v>
      </c>
      <c r="L205">
        <v>14</v>
      </c>
      <c r="M205">
        <v>93</v>
      </c>
      <c r="N205">
        <v>81</v>
      </c>
      <c r="O205">
        <v>87.1</v>
      </c>
      <c r="P205">
        <v>85.1</v>
      </c>
      <c r="Q205">
        <v>91.1</v>
      </c>
      <c r="R205">
        <v>4</v>
      </c>
      <c r="S205">
        <v>8.6999999999999993</v>
      </c>
      <c r="T205" t="s">
        <v>31</v>
      </c>
      <c r="U205">
        <v>5</v>
      </c>
      <c r="V205">
        <v>7</v>
      </c>
    </row>
    <row r="206" spans="1:22" x14ac:dyDescent="0.3">
      <c r="A206" t="s">
        <v>397</v>
      </c>
      <c r="B206" t="s">
        <v>115</v>
      </c>
      <c r="C206" t="s">
        <v>24</v>
      </c>
      <c r="D206" t="s">
        <v>25</v>
      </c>
      <c r="E206" t="s">
        <v>34</v>
      </c>
      <c r="F206" t="s">
        <v>54</v>
      </c>
      <c r="G206" t="s">
        <v>76</v>
      </c>
      <c r="H206" t="s">
        <v>44</v>
      </c>
      <c r="I206" t="s">
        <v>51</v>
      </c>
      <c r="J206">
        <v>86</v>
      </c>
      <c r="K206">
        <v>3</v>
      </c>
      <c r="L206">
        <v>24</v>
      </c>
      <c r="M206">
        <v>124</v>
      </c>
      <c r="N206">
        <v>122</v>
      </c>
      <c r="O206">
        <v>98.4</v>
      </c>
      <c r="P206">
        <v>100</v>
      </c>
      <c r="Q206">
        <v>103.4</v>
      </c>
      <c r="R206">
        <v>5</v>
      </c>
      <c r="S206">
        <v>7.6</v>
      </c>
      <c r="T206" t="s">
        <v>46</v>
      </c>
      <c r="U206">
        <v>1</v>
      </c>
      <c r="V206">
        <v>10</v>
      </c>
    </row>
    <row r="207" spans="1:22" x14ac:dyDescent="0.3">
      <c r="A207" t="s">
        <v>398</v>
      </c>
      <c r="B207" t="s">
        <v>399</v>
      </c>
      <c r="C207" t="s">
        <v>40</v>
      </c>
      <c r="D207" t="s">
        <v>25</v>
      </c>
      <c r="E207" t="s">
        <v>41</v>
      </c>
      <c r="F207" t="s">
        <v>42</v>
      </c>
      <c r="G207" t="s">
        <v>76</v>
      </c>
      <c r="H207" t="s">
        <v>29</v>
      </c>
      <c r="I207" t="s">
        <v>30</v>
      </c>
      <c r="J207">
        <v>99</v>
      </c>
      <c r="K207">
        <v>0</v>
      </c>
      <c r="L207">
        <v>5</v>
      </c>
      <c r="M207">
        <v>129</v>
      </c>
      <c r="N207">
        <v>105</v>
      </c>
      <c r="O207">
        <v>81.400000000000006</v>
      </c>
      <c r="P207">
        <v>82.4</v>
      </c>
      <c r="Q207">
        <v>75.400000000000006</v>
      </c>
      <c r="R207">
        <v>3.7</v>
      </c>
      <c r="S207">
        <v>9.1999999999999993</v>
      </c>
      <c r="T207" t="s">
        <v>31</v>
      </c>
      <c r="U207">
        <v>4</v>
      </c>
      <c r="V207">
        <v>0</v>
      </c>
    </row>
    <row r="208" spans="1:22" x14ac:dyDescent="0.3">
      <c r="A208" t="s">
        <v>400</v>
      </c>
      <c r="B208" t="s">
        <v>401</v>
      </c>
      <c r="C208" t="s">
        <v>40</v>
      </c>
      <c r="D208" t="s">
        <v>49</v>
      </c>
      <c r="E208" t="s">
        <v>71</v>
      </c>
      <c r="F208" t="s">
        <v>27</v>
      </c>
      <c r="G208" t="s">
        <v>76</v>
      </c>
      <c r="H208" t="s">
        <v>56</v>
      </c>
      <c r="I208" t="s">
        <v>79</v>
      </c>
      <c r="J208">
        <v>95</v>
      </c>
      <c r="K208">
        <v>1</v>
      </c>
      <c r="L208">
        <v>18</v>
      </c>
      <c r="M208">
        <v>172</v>
      </c>
      <c r="N208">
        <v>146</v>
      </c>
      <c r="O208">
        <v>84.9</v>
      </c>
      <c r="P208">
        <v>83.9</v>
      </c>
      <c r="Q208">
        <v>77.900000000000006</v>
      </c>
      <c r="R208">
        <v>3.9</v>
      </c>
      <c r="S208">
        <v>8.5</v>
      </c>
      <c r="T208" t="s">
        <v>31</v>
      </c>
      <c r="U208">
        <v>4</v>
      </c>
      <c r="V208">
        <v>9</v>
      </c>
    </row>
    <row r="209" spans="1:22" x14ac:dyDescent="0.3">
      <c r="A209" t="s">
        <v>402</v>
      </c>
      <c r="B209" t="s">
        <v>403</v>
      </c>
      <c r="C209" t="s">
        <v>24</v>
      </c>
      <c r="D209" t="s">
        <v>25</v>
      </c>
      <c r="E209" t="s">
        <v>26</v>
      </c>
      <c r="F209" t="s">
        <v>42</v>
      </c>
      <c r="G209" t="s">
        <v>43</v>
      </c>
      <c r="H209" t="s">
        <v>44</v>
      </c>
      <c r="I209" t="s">
        <v>64</v>
      </c>
      <c r="J209">
        <v>85</v>
      </c>
      <c r="K209">
        <v>3</v>
      </c>
      <c r="L209">
        <v>15</v>
      </c>
      <c r="M209">
        <v>174</v>
      </c>
      <c r="N209">
        <v>168</v>
      </c>
      <c r="O209">
        <v>96.6</v>
      </c>
      <c r="P209">
        <v>97.6</v>
      </c>
      <c r="Q209">
        <v>99.6</v>
      </c>
      <c r="R209">
        <v>4.9000000000000004</v>
      </c>
      <c r="S209">
        <v>7.7</v>
      </c>
      <c r="T209" t="s">
        <v>46</v>
      </c>
      <c r="U209">
        <v>0</v>
      </c>
      <c r="V209">
        <v>0</v>
      </c>
    </row>
    <row r="210" spans="1:22" x14ac:dyDescent="0.3">
      <c r="A210" t="s">
        <v>404</v>
      </c>
      <c r="B210" t="s">
        <v>33</v>
      </c>
      <c r="C210" t="s">
        <v>24</v>
      </c>
      <c r="D210" t="s">
        <v>25</v>
      </c>
      <c r="E210" t="s">
        <v>50</v>
      </c>
      <c r="F210" t="s">
        <v>72</v>
      </c>
      <c r="G210" t="s">
        <v>28</v>
      </c>
      <c r="H210" t="s">
        <v>56</v>
      </c>
      <c r="I210" t="s">
        <v>82</v>
      </c>
      <c r="J210">
        <v>96</v>
      </c>
      <c r="K210">
        <v>1</v>
      </c>
      <c r="L210">
        <v>13</v>
      </c>
      <c r="M210">
        <v>124</v>
      </c>
      <c r="N210">
        <v>111</v>
      </c>
      <c r="O210">
        <v>89.5</v>
      </c>
      <c r="P210">
        <v>88.5</v>
      </c>
      <c r="Q210">
        <v>91.5</v>
      </c>
      <c r="R210">
        <v>4.2</v>
      </c>
      <c r="S210">
        <v>8.5</v>
      </c>
      <c r="T210" t="s">
        <v>31</v>
      </c>
      <c r="U210">
        <v>3</v>
      </c>
      <c r="V210">
        <v>10</v>
      </c>
    </row>
    <row r="211" spans="1:22" x14ac:dyDescent="0.3">
      <c r="A211" t="s">
        <v>405</v>
      </c>
      <c r="B211" t="s">
        <v>368</v>
      </c>
      <c r="C211" t="s">
        <v>24</v>
      </c>
      <c r="D211" t="s">
        <v>25</v>
      </c>
      <c r="E211" t="s">
        <v>26</v>
      </c>
      <c r="F211" t="s">
        <v>27</v>
      </c>
      <c r="G211" t="s">
        <v>43</v>
      </c>
      <c r="H211" t="s">
        <v>29</v>
      </c>
      <c r="I211" t="s">
        <v>79</v>
      </c>
      <c r="J211">
        <v>97</v>
      </c>
      <c r="K211">
        <v>0</v>
      </c>
      <c r="L211">
        <v>7</v>
      </c>
      <c r="M211">
        <v>144</v>
      </c>
      <c r="N211">
        <v>124</v>
      </c>
      <c r="O211">
        <v>86.1</v>
      </c>
      <c r="P211">
        <v>82.1</v>
      </c>
      <c r="Q211">
        <v>82.1</v>
      </c>
      <c r="R211">
        <v>3.8</v>
      </c>
      <c r="S211">
        <v>8.5</v>
      </c>
      <c r="T211" t="s">
        <v>31</v>
      </c>
      <c r="U211">
        <v>3</v>
      </c>
      <c r="V211">
        <v>4</v>
      </c>
    </row>
    <row r="212" spans="1:22" x14ac:dyDescent="0.3">
      <c r="A212" t="s">
        <v>406</v>
      </c>
      <c r="B212" t="s">
        <v>98</v>
      </c>
      <c r="C212" t="s">
        <v>24</v>
      </c>
      <c r="D212" t="s">
        <v>25</v>
      </c>
      <c r="E212" t="s">
        <v>34</v>
      </c>
      <c r="F212" t="s">
        <v>27</v>
      </c>
      <c r="G212" t="s">
        <v>28</v>
      </c>
      <c r="H212" t="s">
        <v>29</v>
      </c>
      <c r="I212" t="s">
        <v>64</v>
      </c>
      <c r="J212">
        <v>82</v>
      </c>
      <c r="K212">
        <v>4</v>
      </c>
      <c r="L212">
        <v>18</v>
      </c>
      <c r="M212">
        <v>121</v>
      </c>
      <c r="N212">
        <v>112</v>
      </c>
      <c r="O212">
        <v>92.6</v>
      </c>
      <c r="P212">
        <v>96.6</v>
      </c>
      <c r="Q212">
        <v>97.6</v>
      </c>
      <c r="R212">
        <v>5</v>
      </c>
      <c r="S212">
        <v>7.9</v>
      </c>
      <c r="T212" t="s">
        <v>46</v>
      </c>
      <c r="U212">
        <v>1</v>
      </c>
      <c r="V212">
        <v>12</v>
      </c>
    </row>
    <row r="213" spans="1:22" x14ac:dyDescent="0.3">
      <c r="A213" t="s">
        <v>407</v>
      </c>
      <c r="B213" t="s">
        <v>401</v>
      </c>
      <c r="C213" t="s">
        <v>40</v>
      </c>
      <c r="D213" t="s">
        <v>25</v>
      </c>
      <c r="E213" t="s">
        <v>41</v>
      </c>
      <c r="F213" t="s">
        <v>54</v>
      </c>
      <c r="G213" t="s">
        <v>63</v>
      </c>
      <c r="H213" t="s">
        <v>56</v>
      </c>
      <c r="I213" t="s">
        <v>51</v>
      </c>
      <c r="J213">
        <v>90</v>
      </c>
      <c r="K213">
        <v>2</v>
      </c>
      <c r="L213">
        <v>25</v>
      </c>
      <c r="M213">
        <v>99</v>
      </c>
      <c r="N213">
        <v>87</v>
      </c>
      <c r="O213">
        <v>87.9</v>
      </c>
      <c r="P213">
        <v>87.9</v>
      </c>
      <c r="Q213">
        <v>79.900000000000006</v>
      </c>
      <c r="R213">
        <v>4.3</v>
      </c>
      <c r="S213">
        <v>8.3000000000000007</v>
      </c>
      <c r="T213" t="s">
        <v>31</v>
      </c>
      <c r="U213">
        <v>5</v>
      </c>
      <c r="V213">
        <v>5</v>
      </c>
    </row>
    <row r="214" spans="1:22" x14ac:dyDescent="0.3">
      <c r="A214" t="s">
        <v>408</v>
      </c>
      <c r="B214" t="s">
        <v>409</v>
      </c>
      <c r="C214" t="s">
        <v>40</v>
      </c>
      <c r="D214" t="s">
        <v>25</v>
      </c>
      <c r="E214" t="s">
        <v>41</v>
      </c>
      <c r="F214" t="s">
        <v>42</v>
      </c>
      <c r="G214" t="s">
        <v>36</v>
      </c>
      <c r="H214" t="s">
        <v>44</v>
      </c>
      <c r="I214" t="s">
        <v>37</v>
      </c>
      <c r="J214">
        <v>90</v>
      </c>
      <c r="K214">
        <v>2</v>
      </c>
      <c r="L214">
        <v>18</v>
      </c>
      <c r="M214">
        <v>122</v>
      </c>
      <c r="N214">
        <v>111</v>
      </c>
      <c r="O214">
        <v>91</v>
      </c>
      <c r="P214">
        <v>87</v>
      </c>
      <c r="Q214">
        <v>97</v>
      </c>
      <c r="R214">
        <v>4.0999999999999996</v>
      </c>
      <c r="S214">
        <v>7.9</v>
      </c>
      <c r="T214" t="s">
        <v>46</v>
      </c>
      <c r="U214">
        <v>0</v>
      </c>
      <c r="V214">
        <v>12</v>
      </c>
    </row>
    <row r="215" spans="1:22" x14ac:dyDescent="0.3">
      <c r="A215" t="s">
        <v>410</v>
      </c>
      <c r="B215" t="s">
        <v>291</v>
      </c>
      <c r="C215" t="s">
        <v>40</v>
      </c>
      <c r="D215" t="s">
        <v>25</v>
      </c>
      <c r="E215" t="s">
        <v>67</v>
      </c>
      <c r="F215" t="s">
        <v>72</v>
      </c>
      <c r="G215" t="s">
        <v>43</v>
      </c>
      <c r="H215" t="s">
        <v>29</v>
      </c>
      <c r="I215" t="s">
        <v>79</v>
      </c>
      <c r="J215">
        <v>85</v>
      </c>
      <c r="K215">
        <v>3</v>
      </c>
      <c r="L215">
        <v>13</v>
      </c>
      <c r="M215">
        <v>167</v>
      </c>
      <c r="N215">
        <v>147</v>
      </c>
      <c r="O215">
        <v>88</v>
      </c>
      <c r="P215">
        <v>86</v>
      </c>
      <c r="Q215">
        <v>86</v>
      </c>
      <c r="R215">
        <v>4</v>
      </c>
      <c r="S215">
        <v>8.1</v>
      </c>
      <c r="T215" t="s">
        <v>31</v>
      </c>
      <c r="U215">
        <v>5</v>
      </c>
      <c r="V215">
        <v>12</v>
      </c>
    </row>
    <row r="216" spans="1:22" x14ac:dyDescent="0.3">
      <c r="A216" t="s">
        <v>411</v>
      </c>
      <c r="B216" t="s">
        <v>271</v>
      </c>
      <c r="C216" t="s">
        <v>40</v>
      </c>
      <c r="D216" t="s">
        <v>49</v>
      </c>
      <c r="E216" t="s">
        <v>67</v>
      </c>
      <c r="F216" t="s">
        <v>54</v>
      </c>
      <c r="G216" t="s">
        <v>55</v>
      </c>
      <c r="H216" t="s">
        <v>44</v>
      </c>
      <c r="I216" t="s">
        <v>57</v>
      </c>
      <c r="J216">
        <v>82</v>
      </c>
      <c r="K216">
        <v>4</v>
      </c>
      <c r="L216">
        <v>25</v>
      </c>
      <c r="M216">
        <v>120</v>
      </c>
      <c r="N216">
        <v>110</v>
      </c>
      <c r="O216">
        <v>91.7</v>
      </c>
      <c r="P216">
        <v>90.7</v>
      </c>
      <c r="Q216">
        <v>98.7</v>
      </c>
      <c r="R216">
        <v>4.3</v>
      </c>
      <c r="S216">
        <v>8.3000000000000007</v>
      </c>
      <c r="T216" t="s">
        <v>46</v>
      </c>
      <c r="U216">
        <v>1</v>
      </c>
      <c r="V216">
        <v>10</v>
      </c>
    </row>
    <row r="217" spans="1:22" x14ac:dyDescent="0.3">
      <c r="A217" t="s">
        <v>412</v>
      </c>
      <c r="B217" t="s">
        <v>413</v>
      </c>
      <c r="C217" t="s">
        <v>24</v>
      </c>
      <c r="D217" t="s">
        <v>49</v>
      </c>
      <c r="E217" t="s">
        <v>50</v>
      </c>
      <c r="F217" t="s">
        <v>91</v>
      </c>
      <c r="G217" t="s">
        <v>63</v>
      </c>
      <c r="H217" t="s">
        <v>56</v>
      </c>
      <c r="I217" t="s">
        <v>51</v>
      </c>
      <c r="J217">
        <v>95</v>
      </c>
      <c r="K217">
        <v>1</v>
      </c>
      <c r="L217">
        <v>21</v>
      </c>
      <c r="M217">
        <v>142</v>
      </c>
      <c r="N217">
        <v>136</v>
      </c>
      <c r="O217">
        <v>95.8</v>
      </c>
      <c r="P217">
        <v>98.8</v>
      </c>
      <c r="Q217">
        <v>94.8</v>
      </c>
      <c r="R217">
        <v>5</v>
      </c>
      <c r="S217">
        <v>8.1999999999999993</v>
      </c>
      <c r="T217" t="s">
        <v>46</v>
      </c>
      <c r="U217">
        <v>1</v>
      </c>
      <c r="V217">
        <v>8</v>
      </c>
    </row>
    <row r="218" spans="1:22" x14ac:dyDescent="0.3">
      <c r="A218" t="s">
        <v>414</v>
      </c>
      <c r="B218" t="s">
        <v>162</v>
      </c>
      <c r="C218" t="s">
        <v>24</v>
      </c>
      <c r="D218" t="s">
        <v>49</v>
      </c>
      <c r="E218" t="s">
        <v>41</v>
      </c>
      <c r="F218" t="s">
        <v>35</v>
      </c>
      <c r="G218" t="s">
        <v>76</v>
      </c>
      <c r="H218" t="s">
        <v>44</v>
      </c>
      <c r="I218" t="s">
        <v>37</v>
      </c>
      <c r="J218">
        <v>91</v>
      </c>
      <c r="K218">
        <v>2</v>
      </c>
      <c r="L218">
        <v>10</v>
      </c>
      <c r="M218">
        <v>114</v>
      </c>
      <c r="N218">
        <v>113</v>
      </c>
      <c r="O218">
        <v>99.1</v>
      </c>
      <c r="P218">
        <v>97.1</v>
      </c>
      <c r="Q218">
        <v>100.1</v>
      </c>
      <c r="R218">
        <v>4.9000000000000004</v>
      </c>
      <c r="S218">
        <v>7.3</v>
      </c>
      <c r="T218" t="s">
        <v>46</v>
      </c>
      <c r="U218">
        <v>0</v>
      </c>
      <c r="V218">
        <v>6</v>
      </c>
    </row>
    <row r="219" spans="1:22" x14ac:dyDescent="0.3">
      <c r="A219" t="s">
        <v>415</v>
      </c>
      <c r="B219" t="s">
        <v>212</v>
      </c>
      <c r="C219" t="s">
        <v>40</v>
      </c>
      <c r="D219" t="s">
        <v>25</v>
      </c>
      <c r="E219" t="s">
        <v>26</v>
      </c>
      <c r="F219" t="s">
        <v>42</v>
      </c>
      <c r="G219" t="s">
        <v>28</v>
      </c>
      <c r="H219" t="s">
        <v>29</v>
      </c>
      <c r="I219" t="s">
        <v>82</v>
      </c>
      <c r="J219">
        <v>91</v>
      </c>
      <c r="K219">
        <v>2</v>
      </c>
      <c r="L219">
        <v>9</v>
      </c>
      <c r="M219">
        <v>152</v>
      </c>
      <c r="N219">
        <v>144</v>
      </c>
      <c r="O219">
        <v>94.7</v>
      </c>
      <c r="P219">
        <v>94.7</v>
      </c>
      <c r="Q219">
        <v>94.7</v>
      </c>
      <c r="R219">
        <v>4.7</v>
      </c>
      <c r="S219">
        <v>7.4</v>
      </c>
      <c r="T219" t="s">
        <v>46</v>
      </c>
      <c r="U219">
        <v>1</v>
      </c>
      <c r="V219">
        <v>6</v>
      </c>
    </row>
    <row r="220" spans="1:22" x14ac:dyDescent="0.3">
      <c r="A220" t="s">
        <v>416</v>
      </c>
      <c r="B220" t="s">
        <v>417</v>
      </c>
      <c r="C220" t="s">
        <v>40</v>
      </c>
      <c r="D220" t="s">
        <v>49</v>
      </c>
      <c r="E220" t="s">
        <v>41</v>
      </c>
      <c r="F220" t="s">
        <v>27</v>
      </c>
      <c r="G220" t="s">
        <v>43</v>
      </c>
      <c r="H220" t="s">
        <v>29</v>
      </c>
      <c r="I220" t="s">
        <v>92</v>
      </c>
      <c r="J220">
        <v>94</v>
      </c>
      <c r="K220">
        <v>1</v>
      </c>
      <c r="L220">
        <v>13</v>
      </c>
      <c r="M220">
        <v>176</v>
      </c>
      <c r="N220">
        <v>149</v>
      </c>
      <c r="O220">
        <v>84.7</v>
      </c>
      <c r="P220">
        <v>87.7</v>
      </c>
      <c r="Q220">
        <v>81.7</v>
      </c>
      <c r="R220">
        <v>4</v>
      </c>
      <c r="S220">
        <v>9.1</v>
      </c>
      <c r="T220" t="s">
        <v>31</v>
      </c>
      <c r="U220">
        <v>4</v>
      </c>
      <c r="V220">
        <v>0</v>
      </c>
    </row>
    <row r="221" spans="1:22" x14ac:dyDescent="0.3">
      <c r="A221" t="s">
        <v>418</v>
      </c>
      <c r="B221" t="s">
        <v>269</v>
      </c>
      <c r="C221" t="s">
        <v>24</v>
      </c>
      <c r="D221" t="s">
        <v>25</v>
      </c>
      <c r="E221" t="s">
        <v>67</v>
      </c>
      <c r="F221" t="s">
        <v>91</v>
      </c>
      <c r="G221" t="s">
        <v>76</v>
      </c>
      <c r="H221" t="s">
        <v>56</v>
      </c>
      <c r="I221" t="s">
        <v>37</v>
      </c>
      <c r="J221">
        <v>98</v>
      </c>
      <c r="K221">
        <v>0</v>
      </c>
      <c r="L221">
        <v>10</v>
      </c>
      <c r="M221">
        <v>136</v>
      </c>
      <c r="N221">
        <v>127</v>
      </c>
      <c r="O221">
        <v>93.4</v>
      </c>
      <c r="P221">
        <v>89.4</v>
      </c>
      <c r="Q221">
        <v>96.4</v>
      </c>
      <c r="R221">
        <v>4.2</v>
      </c>
      <c r="S221">
        <v>7.6</v>
      </c>
      <c r="T221" t="s">
        <v>46</v>
      </c>
      <c r="U221">
        <v>2</v>
      </c>
      <c r="V221">
        <v>7</v>
      </c>
    </row>
    <row r="222" spans="1:22" x14ac:dyDescent="0.3">
      <c r="A222" t="s">
        <v>419</v>
      </c>
      <c r="B222" t="s">
        <v>420</v>
      </c>
      <c r="C222" t="s">
        <v>24</v>
      </c>
      <c r="D222" t="s">
        <v>25</v>
      </c>
      <c r="E222" t="s">
        <v>71</v>
      </c>
      <c r="F222" t="s">
        <v>35</v>
      </c>
      <c r="G222" t="s">
        <v>43</v>
      </c>
      <c r="H222" t="s">
        <v>29</v>
      </c>
      <c r="I222" t="s">
        <v>30</v>
      </c>
      <c r="J222">
        <v>97</v>
      </c>
      <c r="K222">
        <v>0</v>
      </c>
      <c r="L222">
        <v>18</v>
      </c>
      <c r="M222">
        <v>150</v>
      </c>
      <c r="N222">
        <v>144</v>
      </c>
      <c r="O222">
        <v>96</v>
      </c>
      <c r="P222">
        <v>92</v>
      </c>
      <c r="Q222">
        <v>89</v>
      </c>
      <c r="R222">
        <v>4.5999999999999996</v>
      </c>
      <c r="S222">
        <v>7.8</v>
      </c>
      <c r="T222" t="s">
        <v>46</v>
      </c>
      <c r="U222">
        <v>1</v>
      </c>
      <c r="V222">
        <v>8</v>
      </c>
    </row>
    <row r="223" spans="1:22" x14ac:dyDescent="0.3">
      <c r="A223" t="s">
        <v>421</v>
      </c>
      <c r="B223" t="s">
        <v>81</v>
      </c>
      <c r="C223" t="s">
        <v>24</v>
      </c>
      <c r="D223" t="s">
        <v>25</v>
      </c>
      <c r="E223" t="s">
        <v>34</v>
      </c>
      <c r="F223" t="s">
        <v>35</v>
      </c>
      <c r="G223" t="s">
        <v>36</v>
      </c>
      <c r="H223" t="s">
        <v>44</v>
      </c>
      <c r="I223" t="s">
        <v>73</v>
      </c>
      <c r="J223">
        <v>93</v>
      </c>
      <c r="K223">
        <v>1</v>
      </c>
      <c r="L223">
        <v>18</v>
      </c>
      <c r="M223">
        <v>144</v>
      </c>
      <c r="N223">
        <v>131</v>
      </c>
      <c r="O223">
        <v>91</v>
      </c>
      <c r="P223">
        <v>92</v>
      </c>
      <c r="Q223">
        <v>91</v>
      </c>
      <c r="R223">
        <v>4.5</v>
      </c>
      <c r="S223">
        <v>8.1999999999999993</v>
      </c>
      <c r="T223" t="s">
        <v>46</v>
      </c>
      <c r="U223">
        <v>0</v>
      </c>
      <c r="V223">
        <v>6</v>
      </c>
    </row>
    <row r="224" spans="1:22" x14ac:dyDescent="0.3">
      <c r="A224" t="s">
        <v>422</v>
      </c>
      <c r="B224" t="s">
        <v>423</v>
      </c>
      <c r="C224" t="s">
        <v>40</v>
      </c>
      <c r="D224" t="s">
        <v>25</v>
      </c>
      <c r="E224" t="s">
        <v>50</v>
      </c>
      <c r="F224" t="s">
        <v>42</v>
      </c>
      <c r="G224" t="s">
        <v>28</v>
      </c>
      <c r="H224" t="s">
        <v>56</v>
      </c>
      <c r="I224" t="s">
        <v>82</v>
      </c>
      <c r="J224">
        <v>98</v>
      </c>
      <c r="K224">
        <v>0</v>
      </c>
      <c r="L224">
        <v>4</v>
      </c>
      <c r="M224">
        <v>127</v>
      </c>
      <c r="N224">
        <v>112</v>
      </c>
      <c r="O224">
        <v>88.2</v>
      </c>
      <c r="P224">
        <v>88.2</v>
      </c>
      <c r="Q224">
        <v>82.2</v>
      </c>
      <c r="R224">
        <v>4.3</v>
      </c>
      <c r="S224">
        <v>8.1999999999999993</v>
      </c>
      <c r="T224" t="s">
        <v>31</v>
      </c>
      <c r="U224">
        <v>6</v>
      </c>
      <c r="V224">
        <v>3</v>
      </c>
    </row>
    <row r="225" spans="1:22" x14ac:dyDescent="0.3">
      <c r="A225" t="s">
        <v>424</v>
      </c>
      <c r="B225" t="s">
        <v>293</v>
      </c>
      <c r="C225" t="s">
        <v>40</v>
      </c>
      <c r="D225" t="s">
        <v>25</v>
      </c>
      <c r="E225" t="s">
        <v>67</v>
      </c>
      <c r="F225" t="s">
        <v>42</v>
      </c>
      <c r="G225" t="s">
        <v>28</v>
      </c>
      <c r="H225" t="s">
        <v>29</v>
      </c>
      <c r="I225" t="s">
        <v>68</v>
      </c>
      <c r="J225">
        <v>83</v>
      </c>
      <c r="K225">
        <v>4</v>
      </c>
      <c r="L225">
        <v>16</v>
      </c>
      <c r="M225">
        <v>115</v>
      </c>
      <c r="N225">
        <v>110</v>
      </c>
      <c r="O225">
        <v>95.7</v>
      </c>
      <c r="P225">
        <v>94.7</v>
      </c>
      <c r="Q225">
        <v>97.7</v>
      </c>
      <c r="R225">
        <v>4.5999999999999996</v>
      </c>
      <c r="S225">
        <v>7.4</v>
      </c>
      <c r="T225" t="s">
        <v>31</v>
      </c>
      <c r="U225">
        <v>3</v>
      </c>
      <c r="V225">
        <v>7</v>
      </c>
    </row>
    <row r="226" spans="1:22" x14ac:dyDescent="0.3">
      <c r="A226" t="s">
        <v>425</v>
      </c>
      <c r="B226" t="s">
        <v>175</v>
      </c>
      <c r="C226" t="s">
        <v>40</v>
      </c>
      <c r="D226" t="s">
        <v>25</v>
      </c>
      <c r="E226" t="s">
        <v>34</v>
      </c>
      <c r="F226" t="s">
        <v>42</v>
      </c>
      <c r="G226" t="s">
        <v>43</v>
      </c>
      <c r="H226" t="s">
        <v>44</v>
      </c>
      <c r="I226" t="s">
        <v>82</v>
      </c>
      <c r="J226">
        <v>83</v>
      </c>
      <c r="K226">
        <v>4</v>
      </c>
      <c r="L226">
        <v>9</v>
      </c>
      <c r="M226">
        <v>158</v>
      </c>
      <c r="N226">
        <v>144</v>
      </c>
      <c r="O226">
        <v>91.1</v>
      </c>
      <c r="P226">
        <v>94.1</v>
      </c>
      <c r="Q226">
        <v>94.1</v>
      </c>
      <c r="R226">
        <v>4.8</v>
      </c>
      <c r="S226">
        <v>8.1</v>
      </c>
      <c r="T226" t="s">
        <v>46</v>
      </c>
      <c r="U226">
        <v>0</v>
      </c>
      <c r="V226">
        <v>1</v>
      </c>
    </row>
    <row r="227" spans="1:22" x14ac:dyDescent="0.3">
      <c r="A227" t="s">
        <v>426</v>
      </c>
      <c r="B227" t="s">
        <v>427</v>
      </c>
      <c r="C227" t="s">
        <v>40</v>
      </c>
      <c r="D227" t="s">
        <v>49</v>
      </c>
      <c r="E227" t="s">
        <v>50</v>
      </c>
      <c r="F227" t="s">
        <v>27</v>
      </c>
      <c r="G227" t="s">
        <v>63</v>
      </c>
      <c r="H227" t="s">
        <v>56</v>
      </c>
      <c r="I227" t="s">
        <v>64</v>
      </c>
      <c r="J227">
        <v>82</v>
      </c>
      <c r="K227">
        <v>4</v>
      </c>
      <c r="L227">
        <v>13</v>
      </c>
      <c r="M227">
        <v>120</v>
      </c>
      <c r="N227">
        <v>103</v>
      </c>
      <c r="O227">
        <v>85.8</v>
      </c>
      <c r="P227">
        <v>86.8</v>
      </c>
      <c r="Q227">
        <v>81.8</v>
      </c>
      <c r="R227">
        <v>4.2</v>
      </c>
      <c r="S227">
        <v>8.9</v>
      </c>
      <c r="T227" t="s">
        <v>31</v>
      </c>
      <c r="U227">
        <v>5</v>
      </c>
      <c r="V227">
        <v>10</v>
      </c>
    </row>
    <row r="228" spans="1:22" x14ac:dyDescent="0.3">
      <c r="A228" t="s">
        <v>428</v>
      </c>
      <c r="B228" t="s">
        <v>273</v>
      </c>
      <c r="C228" t="s">
        <v>24</v>
      </c>
      <c r="D228" t="s">
        <v>49</v>
      </c>
      <c r="E228" t="s">
        <v>41</v>
      </c>
      <c r="F228" t="s">
        <v>54</v>
      </c>
      <c r="G228" t="s">
        <v>55</v>
      </c>
      <c r="H228" t="s">
        <v>44</v>
      </c>
      <c r="I228" t="s">
        <v>79</v>
      </c>
      <c r="J228">
        <v>94</v>
      </c>
      <c r="K228">
        <v>1</v>
      </c>
      <c r="L228">
        <v>18</v>
      </c>
      <c r="M228">
        <v>132</v>
      </c>
      <c r="N228">
        <v>127</v>
      </c>
      <c r="O228">
        <v>96.2</v>
      </c>
      <c r="P228">
        <v>98.2</v>
      </c>
      <c r="Q228">
        <v>94.2</v>
      </c>
      <c r="R228">
        <v>5</v>
      </c>
      <c r="S228">
        <v>8</v>
      </c>
      <c r="T228" t="s">
        <v>46</v>
      </c>
      <c r="U228">
        <v>1</v>
      </c>
      <c r="V228">
        <v>4</v>
      </c>
    </row>
    <row r="229" spans="1:22" x14ac:dyDescent="0.3">
      <c r="A229" t="s">
        <v>429</v>
      </c>
      <c r="B229" t="s">
        <v>430</v>
      </c>
      <c r="C229" t="s">
        <v>24</v>
      </c>
      <c r="D229" t="s">
        <v>25</v>
      </c>
      <c r="E229" t="s">
        <v>34</v>
      </c>
      <c r="F229" t="s">
        <v>72</v>
      </c>
      <c r="G229" t="s">
        <v>63</v>
      </c>
      <c r="H229" t="s">
        <v>56</v>
      </c>
      <c r="I229" t="s">
        <v>45</v>
      </c>
      <c r="J229">
        <v>88</v>
      </c>
      <c r="K229">
        <v>3</v>
      </c>
      <c r="L229">
        <v>12</v>
      </c>
      <c r="M229">
        <v>93</v>
      </c>
      <c r="N229">
        <v>84</v>
      </c>
      <c r="O229">
        <v>90.3</v>
      </c>
      <c r="P229">
        <v>89.3</v>
      </c>
      <c r="Q229">
        <v>93.3</v>
      </c>
      <c r="R229">
        <v>4.2</v>
      </c>
      <c r="S229">
        <v>7.8</v>
      </c>
      <c r="T229" t="s">
        <v>46</v>
      </c>
      <c r="U229">
        <v>2</v>
      </c>
      <c r="V229">
        <v>12</v>
      </c>
    </row>
    <row r="230" spans="1:22" x14ac:dyDescent="0.3">
      <c r="A230" t="s">
        <v>431</v>
      </c>
      <c r="B230" t="s">
        <v>340</v>
      </c>
      <c r="C230" t="s">
        <v>40</v>
      </c>
      <c r="D230" t="s">
        <v>25</v>
      </c>
      <c r="E230" t="s">
        <v>41</v>
      </c>
      <c r="F230" t="s">
        <v>35</v>
      </c>
      <c r="G230" t="s">
        <v>28</v>
      </c>
      <c r="H230" t="s">
        <v>44</v>
      </c>
      <c r="I230" t="s">
        <v>51</v>
      </c>
      <c r="J230">
        <v>93</v>
      </c>
      <c r="K230">
        <v>1</v>
      </c>
      <c r="L230">
        <v>15</v>
      </c>
      <c r="M230">
        <v>170</v>
      </c>
      <c r="N230">
        <v>168</v>
      </c>
      <c r="O230">
        <v>98.8</v>
      </c>
      <c r="P230">
        <v>95.8</v>
      </c>
      <c r="Q230">
        <v>92.8</v>
      </c>
      <c r="R230">
        <v>4.8</v>
      </c>
      <c r="S230">
        <v>7.2</v>
      </c>
      <c r="T230" t="s">
        <v>31</v>
      </c>
      <c r="U230">
        <v>5</v>
      </c>
      <c r="V230">
        <v>10</v>
      </c>
    </row>
    <row r="231" spans="1:22" x14ac:dyDescent="0.3">
      <c r="A231" t="s">
        <v>432</v>
      </c>
      <c r="B231" t="s">
        <v>387</v>
      </c>
      <c r="C231" t="s">
        <v>40</v>
      </c>
      <c r="D231" t="s">
        <v>25</v>
      </c>
      <c r="E231" t="s">
        <v>67</v>
      </c>
      <c r="F231" t="s">
        <v>91</v>
      </c>
      <c r="G231" t="s">
        <v>36</v>
      </c>
      <c r="H231" t="s">
        <v>29</v>
      </c>
      <c r="I231" t="s">
        <v>45</v>
      </c>
      <c r="J231">
        <v>91</v>
      </c>
      <c r="K231">
        <v>2</v>
      </c>
      <c r="L231">
        <v>15</v>
      </c>
      <c r="M231">
        <v>127</v>
      </c>
      <c r="N231">
        <v>119</v>
      </c>
      <c r="O231">
        <v>93.7</v>
      </c>
      <c r="P231">
        <v>97.7</v>
      </c>
      <c r="Q231">
        <v>101.7</v>
      </c>
      <c r="R231">
        <v>5</v>
      </c>
      <c r="S231">
        <v>7.4</v>
      </c>
      <c r="T231" t="s">
        <v>46</v>
      </c>
      <c r="U231">
        <v>1</v>
      </c>
      <c r="V231">
        <v>3</v>
      </c>
    </row>
    <row r="232" spans="1:22" x14ac:dyDescent="0.3">
      <c r="A232" t="s">
        <v>433</v>
      </c>
      <c r="B232" t="s">
        <v>434</v>
      </c>
      <c r="C232" t="s">
        <v>24</v>
      </c>
      <c r="D232" t="s">
        <v>25</v>
      </c>
      <c r="E232" t="s">
        <v>34</v>
      </c>
      <c r="F232" t="s">
        <v>72</v>
      </c>
      <c r="G232" t="s">
        <v>63</v>
      </c>
      <c r="H232" t="s">
        <v>44</v>
      </c>
      <c r="I232" t="s">
        <v>92</v>
      </c>
      <c r="J232">
        <v>99</v>
      </c>
      <c r="K232">
        <v>0</v>
      </c>
      <c r="L232">
        <v>12</v>
      </c>
      <c r="M232">
        <v>115</v>
      </c>
      <c r="N232">
        <v>101</v>
      </c>
      <c r="O232">
        <v>87.8</v>
      </c>
      <c r="P232">
        <v>90.8</v>
      </c>
      <c r="Q232">
        <v>88.8</v>
      </c>
      <c r="R232">
        <v>4.5</v>
      </c>
      <c r="S232">
        <v>7.9</v>
      </c>
      <c r="T232" t="s">
        <v>31</v>
      </c>
      <c r="U232">
        <v>5</v>
      </c>
      <c r="V232">
        <v>12</v>
      </c>
    </row>
    <row r="233" spans="1:22" x14ac:dyDescent="0.3">
      <c r="A233" t="s">
        <v>435</v>
      </c>
      <c r="B233" t="s">
        <v>436</v>
      </c>
      <c r="C233" t="s">
        <v>40</v>
      </c>
      <c r="D233" t="s">
        <v>25</v>
      </c>
      <c r="E233" t="s">
        <v>34</v>
      </c>
      <c r="F233" t="s">
        <v>27</v>
      </c>
      <c r="G233" t="s">
        <v>36</v>
      </c>
      <c r="H233" t="s">
        <v>29</v>
      </c>
      <c r="I233" t="s">
        <v>30</v>
      </c>
      <c r="J233">
        <v>98</v>
      </c>
      <c r="K233">
        <v>0</v>
      </c>
      <c r="L233">
        <v>1</v>
      </c>
      <c r="M233">
        <v>132</v>
      </c>
      <c r="N233">
        <v>112</v>
      </c>
      <c r="O233">
        <v>84.8</v>
      </c>
      <c r="P233">
        <v>86.8</v>
      </c>
      <c r="Q233">
        <v>91.8</v>
      </c>
      <c r="R233">
        <v>4.2</v>
      </c>
      <c r="S233">
        <v>9.1</v>
      </c>
      <c r="T233" t="s">
        <v>31</v>
      </c>
      <c r="U233">
        <v>3</v>
      </c>
      <c r="V233">
        <v>11</v>
      </c>
    </row>
    <row r="234" spans="1:22" x14ac:dyDescent="0.3">
      <c r="A234" t="s">
        <v>437</v>
      </c>
      <c r="B234" t="s">
        <v>376</v>
      </c>
      <c r="C234" t="s">
        <v>24</v>
      </c>
      <c r="D234" t="s">
        <v>25</v>
      </c>
      <c r="E234" t="s">
        <v>71</v>
      </c>
      <c r="F234" t="s">
        <v>42</v>
      </c>
      <c r="G234" t="s">
        <v>43</v>
      </c>
      <c r="H234" t="s">
        <v>29</v>
      </c>
      <c r="I234" t="s">
        <v>45</v>
      </c>
      <c r="J234">
        <v>88</v>
      </c>
      <c r="K234">
        <v>3</v>
      </c>
      <c r="L234">
        <v>24</v>
      </c>
      <c r="M234">
        <v>141</v>
      </c>
      <c r="N234">
        <v>133</v>
      </c>
      <c r="O234">
        <v>94.3</v>
      </c>
      <c r="P234">
        <v>95.3</v>
      </c>
      <c r="Q234">
        <v>102.3</v>
      </c>
      <c r="R234">
        <v>4.8</v>
      </c>
      <c r="S234">
        <v>7.6</v>
      </c>
      <c r="T234" t="s">
        <v>46</v>
      </c>
      <c r="U234">
        <v>0</v>
      </c>
      <c r="V234">
        <v>11</v>
      </c>
    </row>
    <row r="235" spans="1:22" x14ac:dyDescent="0.3">
      <c r="A235" t="s">
        <v>438</v>
      </c>
      <c r="B235" t="s">
        <v>439</v>
      </c>
      <c r="C235" t="s">
        <v>40</v>
      </c>
      <c r="D235" t="s">
        <v>49</v>
      </c>
      <c r="E235" t="s">
        <v>50</v>
      </c>
      <c r="F235" t="s">
        <v>72</v>
      </c>
      <c r="G235" t="s">
        <v>28</v>
      </c>
      <c r="H235" t="s">
        <v>29</v>
      </c>
      <c r="I235" t="s">
        <v>57</v>
      </c>
      <c r="J235">
        <v>94</v>
      </c>
      <c r="K235">
        <v>1</v>
      </c>
      <c r="L235">
        <v>21</v>
      </c>
      <c r="M235">
        <v>103</v>
      </c>
      <c r="N235">
        <v>96</v>
      </c>
      <c r="O235">
        <v>93.2</v>
      </c>
      <c r="P235">
        <v>93.2</v>
      </c>
      <c r="Q235">
        <v>92.2</v>
      </c>
      <c r="R235">
        <v>4.5</v>
      </c>
      <c r="S235">
        <v>8.1999999999999993</v>
      </c>
      <c r="T235" t="s">
        <v>31</v>
      </c>
      <c r="U235">
        <v>7</v>
      </c>
      <c r="V235">
        <v>12</v>
      </c>
    </row>
    <row r="236" spans="1:22" x14ac:dyDescent="0.3">
      <c r="A236" t="s">
        <v>440</v>
      </c>
      <c r="B236" t="s">
        <v>441</v>
      </c>
      <c r="C236" t="s">
        <v>24</v>
      </c>
      <c r="D236" t="s">
        <v>49</v>
      </c>
      <c r="E236" t="s">
        <v>41</v>
      </c>
      <c r="F236" t="s">
        <v>42</v>
      </c>
      <c r="G236" t="s">
        <v>43</v>
      </c>
      <c r="H236" t="s">
        <v>29</v>
      </c>
      <c r="I236" t="s">
        <v>68</v>
      </c>
      <c r="J236">
        <v>92</v>
      </c>
      <c r="K236">
        <v>2</v>
      </c>
      <c r="L236">
        <v>4</v>
      </c>
      <c r="M236">
        <v>136</v>
      </c>
      <c r="N236">
        <v>120</v>
      </c>
      <c r="O236">
        <v>88.2</v>
      </c>
      <c r="P236">
        <v>91.2</v>
      </c>
      <c r="Q236">
        <v>94.2</v>
      </c>
      <c r="R236">
        <v>4.3</v>
      </c>
      <c r="S236">
        <v>8</v>
      </c>
      <c r="T236" t="s">
        <v>31</v>
      </c>
      <c r="U236">
        <v>5</v>
      </c>
      <c r="V236">
        <v>7</v>
      </c>
    </row>
    <row r="237" spans="1:22" x14ac:dyDescent="0.3">
      <c r="A237" t="s">
        <v>442</v>
      </c>
      <c r="B237" t="s">
        <v>439</v>
      </c>
      <c r="C237" t="s">
        <v>24</v>
      </c>
      <c r="D237" t="s">
        <v>49</v>
      </c>
      <c r="E237" t="s">
        <v>26</v>
      </c>
      <c r="F237" t="s">
        <v>42</v>
      </c>
      <c r="G237" t="s">
        <v>43</v>
      </c>
      <c r="H237" t="s">
        <v>29</v>
      </c>
      <c r="I237" t="s">
        <v>79</v>
      </c>
      <c r="J237">
        <v>96</v>
      </c>
      <c r="K237">
        <v>1</v>
      </c>
      <c r="L237">
        <v>21</v>
      </c>
      <c r="M237">
        <v>130</v>
      </c>
      <c r="N237">
        <v>110</v>
      </c>
      <c r="O237">
        <v>84.6</v>
      </c>
      <c r="P237">
        <v>84.6</v>
      </c>
      <c r="Q237">
        <v>78.599999999999994</v>
      </c>
      <c r="R237">
        <v>3.8</v>
      </c>
      <c r="S237">
        <v>8.6</v>
      </c>
      <c r="T237" t="s">
        <v>31</v>
      </c>
      <c r="U237">
        <v>3</v>
      </c>
      <c r="V237">
        <v>2</v>
      </c>
    </row>
    <row r="238" spans="1:22" x14ac:dyDescent="0.3">
      <c r="A238" t="s">
        <v>443</v>
      </c>
      <c r="B238" t="s">
        <v>444</v>
      </c>
      <c r="C238" t="s">
        <v>40</v>
      </c>
      <c r="D238" t="s">
        <v>25</v>
      </c>
      <c r="E238" t="s">
        <v>26</v>
      </c>
      <c r="F238" t="s">
        <v>42</v>
      </c>
      <c r="G238" t="s">
        <v>36</v>
      </c>
      <c r="H238" t="s">
        <v>56</v>
      </c>
      <c r="I238" t="s">
        <v>51</v>
      </c>
      <c r="J238">
        <v>86</v>
      </c>
      <c r="K238">
        <v>3</v>
      </c>
      <c r="L238">
        <v>10</v>
      </c>
      <c r="M238">
        <v>113</v>
      </c>
      <c r="N238">
        <v>107</v>
      </c>
      <c r="O238">
        <v>94.7</v>
      </c>
      <c r="P238">
        <v>97.7</v>
      </c>
      <c r="Q238">
        <v>89.7</v>
      </c>
      <c r="R238">
        <v>4.9000000000000004</v>
      </c>
      <c r="S238">
        <v>7.8</v>
      </c>
      <c r="T238" t="s">
        <v>46</v>
      </c>
      <c r="U238">
        <v>1</v>
      </c>
      <c r="V238">
        <v>7</v>
      </c>
    </row>
    <row r="239" spans="1:22" x14ac:dyDescent="0.3">
      <c r="A239" t="s">
        <v>445</v>
      </c>
      <c r="B239" t="s">
        <v>156</v>
      </c>
      <c r="C239" t="s">
        <v>24</v>
      </c>
      <c r="D239" t="s">
        <v>25</v>
      </c>
      <c r="E239" t="s">
        <v>50</v>
      </c>
      <c r="F239" t="s">
        <v>42</v>
      </c>
      <c r="G239" t="s">
        <v>43</v>
      </c>
      <c r="H239" t="s">
        <v>56</v>
      </c>
      <c r="I239" t="s">
        <v>92</v>
      </c>
      <c r="J239">
        <v>96</v>
      </c>
      <c r="K239">
        <v>1</v>
      </c>
      <c r="L239">
        <v>8</v>
      </c>
      <c r="M239">
        <v>115</v>
      </c>
      <c r="N239">
        <v>114</v>
      </c>
      <c r="O239">
        <v>99.1</v>
      </c>
      <c r="P239">
        <v>96.1</v>
      </c>
      <c r="Q239">
        <v>95.1</v>
      </c>
      <c r="R239">
        <v>5</v>
      </c>
      <c r="S239">
        <v>7.6</v>
      </c>
      <c r="T239" t="s">
        <v>46</v>
      </c>
      <c r="U239">
        <v>2</v>
      </c>
      <c r="V239">
        <v>1</v>
      </c>
    </row>
    <row r="240" spans="1:22" x14ac:dyDescent="0.3">
      <c r="A240" t="s">
        <v>446</v>
      </c>
      <c r="B240" t="s">
        <v>132</v>
      </c>
      <c r="C240" t="s">
        <v>40</v>
      </c>
      <c r="D240" t="s">
        <v>49</v>
      </c>
      <c r="E240" t="s">
        <v>26</v>
      </c>
      <c r="F240" t="s">
        <v>35</v>
      </c>
      <c r="G240" t="s">
        <v>55</v>
      </c>
      <c r="H240" t="s">
        <v>44</v>
      </c>
      <c r="I240" t="s">
        <v>57</v>
      </c>
      <c r="J240">
        <v>82</v>
      </c>
      <c r="K240">
        <v>4</v>
      </c>
      <c r="L240">
        <v>9</v>
      </c>
      <c r="M240">
        <v>94</v>
      </c>
      <c r="N240">
        <v>80</v>
      </c>
      <c r="O240">
        <v>85.1</v>
      </c>
      <c r="P240">
        <v>86.1</v>
      </c>
      <c r="Q240">
        <v>83.1</v>
      </c>
      <c r="R240">
        <v>4.0999999999999996</v>
      </c>
      <c r="S240">
        <v>8.4</v>
      </c>
      <c r="T240" t="s">
        <v>31</v>
      </c>
      <c r="U240">
        <v>4</v>
      </c>
      <c r="V240">
        <v>0</v>
      </c>
    </row>
    <row r="241" spans="1:22" x14ac:dyDescent="0.3">
      <c r="A241" t="s">
        <v>447</v>
      </c>
      <c r="B241" t="s">
        <v>156</v>
      </c>
      <c r="C241" t="s">
        <v>24</v>
      </c>
      <c r="D241" t="s">
        <v>25</v>
      </c>
      <c r="E241" t="s">
        <v>67</v>
      </c>
      <c r="F241" t="s">
        <v>35</v>
      </c>
      <c r="G241" t="s">
        <v>63</v>
      </c>
      <c r="H241" t="s">
        <v>29</v>
      </c>
      <c r="I241" t="s">
        <v>60</v>
      </c>
      <c r="J241">
        <v>99</v>
      </c>
      <c r="K241">
        <v>0</v>
      </c>
      <c r="L241">
        <v>8</v>
      </c>
      <c r="M241">
        <v>148</v>
      </c>
      <c r="N241">
        <v>145</v>
      </c>
      <c r="O241">
        <v>98</v>
      </c>
      <c r="P241">
        <v>100</v>
      </c>
      <c r="Q241">
        <v>90</v>
      </c>
      <c r="R241">
        <v>5</v>
      </c>
      <c r="S241">
        <v>7.2</v>
      </c>
      <c r="T241" t="s">
        <v>46</v>
      </c>
      <c r="U241">
        <v>0</v>
      </c>
      <c r="V241">
        <v>11</v>
      </c>
    </row>
    <row r="242" spans="1:22" x14ac:dyDescent="0.3">
      <c r="A242" t="s">
        <v>448</v>
      </c>
      <c r="B242" t="s">
        <v>376</v>
      </c>
      <c r="C242" t="s">
        <v>40</v>
      </c>
      <c r="D242" t="s">
        <v>49</v>
      </c>
      <c r="E242" t="s">
        <v>34</v>
      </c>
      <c r="F242" t="s">
        <v>35</v>
      </c>
      <c r="G242" t="s">
        <v>36</v>
      </c>
      <c r="H242" t="s">
        <v>29</v>
      </c>
      <c r="I242" t="s">
        <v>82</v>
      </c>
      <c r="J242">
        <v>87</v>
      </c>
      <c r="K242">
        <v>3</v>
      </c>
      <c r="L242">
        <v>21</v>
      </c>
      <c r="M242">
        <v>94</v>
      </c>
      <c r="N242">
        <v>79</v>
      </c>
      <c r="O242">
        <v>84</v>
      </c>
      <c r="P242">
        <v>83</v>
      </c>
      <c r="Q242">
        <v>77</v>
      </c>
      <c r="R242">
        <v>3.7</v>
      </c>
      <c r="S242">
        <v>8.9</v>
      </c>
      <c r="T242" t="s">
        <v>31</v>
      </c>
      <c r="U242">
        <v>5</v>
      </c>
      <c r="V242">
        <v>11</v>
      </c>
    </row>
    <row r="243" spans="1:22" x14ac:dyDescent="0.3">
      <c r="A243" t="s">
        <v>449</v>
      </c>
      <c r="B243" t="s">
        <v>288</v>
      </c>
      <c r="C243" t="s">
        <v>40</v>
      </c>
      <c r="D243" t="s">
        <v>25</v>
      </c>
      <c r="E243" t="s">
        <v>71</v>
      </c>
      <c r="F243" t="s">
        <v>27</v>
      </c>
      <c r="G243" t="s">
        <v>63</v>
      </c>
      <c r="H243" t="s">
        <v>29</v>
      </c>
      <c r="I243" t="s">
        <v>30</v>
      </c>
      <c r="J243">
        <v>85</v>
      </c>
      <c r="K243">
        <v>3</v>
      </c>
      <c r="L243">
        <v>19</v>
      </c>
      <c r="M243">
        <v>142</v>
      </c>
      <c r="N243">
        <v>142</v>
      </c>
      <c r="O243">
        <v>100</v>
      </c>
      <c r="P243">
        <v>100</v>
      </c>
      <c r="Q243">
        <v>102</v>
      </c>
      <c r="R243">
        <v>5</v>
      </c>
      <c r="S243">
        <v>7.3</v>
      </c>
      <c r="T243" t="s">
        <v>46</v>
      </c>
      <c r="U243">
        <v>0</v>
      </c>
      <c r="V243">
        <v>0</v>
      </c>
    </row>
    <row r="244" spans="1:22" x14ac:dyDescent="0.3">
      <c r="A244" t="s">
        <v>450</v>
      </c>
      <c r="B244" t="s">
        <v>451</v>
      </c>
      <c r="C244" t="s">
        <v>40</v>
      </c>
      <c r="D244" t="s">
        <v>49</v>
      </c>
      <c r="E244" t="s">
        <v>50</v>
      </c>
      <c r="F244" t="s">
        <v>27</v>
      </c>
      <c r="G244" t="s">
        <v>76</v>
      </c>
      <c r="H244" t="s">
        <v>29</v>
      </c>
      <c r="I244" t="s">
        <v>30</v>
      </c>
      <c r="J244">
        <v>86</v>
      </c>
      <c r="K244">
        <v>3</v>
      </c>
      <c r="L244">
        <v>2</v>
      </c>
      <c r="M244">
        <v>145</v>
      </c>
      <c r="N244">
        <v>134</v>
      </c>
      <c r="O244">
        <v>92.4</v>
      </c>
      <c r="P244">
        <v>94.4</v>
      </c>
      <c r="Q244">
        <v>92.4</v>
      </c>
      <c r="R244">
        <v>4.5999999999999996</v>
      </c>
      <c r="S244">
        <v>8.4</v>
      </c>
      <c r="T244" t="s">
        <v>46</v>
      </c>
      <c r="U244">
        <v>0</v>
      </c>
      <c r="V244">
        <v>8</v>
      </c>
    </row>
    <row r="245" spans="1:22" x14ac:dyDescent="0.3">
      <c r="A245" t="s">
        <v>452</v>
      </c>
      <c r="B245" t="s">
        <v>453</v>
      </c>
      <c r="C245" t="s">
        <v>24</v>
      </c>
      <c r="D245" t="s">
        <v>25</v>
      </c>
      <c r="E245" t="s">
        <v>50</v>
      </c>
      <c r="F245" t="s">
        <v>35</v>
      </c>
      <c r="G245" t="s">
        <v>43</v>
      </c>
      <c r="H245" t="s">
        <v>44</v>
      </c>
      <c r="I245" t="s">
        <v>64</v>
      </c>
      <c r="J245">
        <v>93</v>
      </c>
      <c r="K245">
        <v>1</v>
      </c>
      <c r="L245">
        <v>14</v>
      </c>
      <c r="M245">
        <v>166</v>
      </c>
      <c r="N245">
        <v>149</v>
      </c>
      <c r="O245">
        <v>89.8</v>
      </c>
      <c r="P245">
        <v>90.8</v>
      </c>
      <c r="Q245">
        <v>89.8</v>
      </c>
      <c r="R245">
        <v>4.5</v>
      </c>
      <c r="S245">
        <v>8.1</v>
      </c>
      <c r="T245" t="s">
        <v>31</v>
      </c>
      <c r="U245">
        <v>4</v>
      </c>
      <c r="V245">
        <v>0</v>
      </c>
    </row>
    <row r="246" spans="1:22" x14ac:dyDescent="0.3">
      <c r="A246" t="s">
        <v>454</v>
      </c>
      <c r="B246" t="s">
        <v>96</v>
      </c>
      <c r="C246" t="s">
        <v>40</v>
      </c>
      <c r="D246" t="s">
        <v>49</v>
      </c>
      <c r="E246" t="s">
        <v>71</v>
      </c>
      <c r="F246" t="s">
        <v>54</v>
      </c>
      <c r="G246" t="s">
        <v>55</v>
      </c>
      <c r="H246" t="s">
        <v>29</v>
      </c>
      <c r="I246" t="s">
        <v>64</v>
      </c>
      <c r="J246">
        <v>89</v>
      </c>
      <c r="K246">
        <v>2</v>
      </c>
      <c r="L246">
        <v>11</v>
      </c>
      <c r="M246">
        <v>119</v>
      </c>
      <c r="N246">
        <v>103</v>
      </c>
      <c r="O246">
        <v>86.6</v>
      </c>
      <c r="P246">
        <v>90.6</v>
      </c>
      <c r="Q246">
        <v>87.6</v>
      </c>
      <c r="R246">
        <v>4.3</v>
      </c>
      <c r="S246">
        <v>8.1999999999999993</v>
      </c>
      <c r="T246" t="s">
        <v>31</v>
      </c>
      <c r="U246">
        <v>5</v>
      </c>
      <c r="V246">
        <v>4</v>
      </c>
    </row>
    <row r="247" spans="1:22" x14ac:dyDescent="0.3">
      <c r="A247" t="s">
        <v>455</v>
      </c>
      <c r="B247" t="s">
        <v>145</v>
      </c>
      <c r="C247" t="s">
        <v>24</v>
      </c>
      <c r="D247" t="s">
        <v>49</v>
      </c>
      <c r="E247" t="s">
        <v>50</v>
      </c>
      <c r="F247" t="s">
        <v>91</v>
      </c>
      <c r="G247" t="s">
        <v>76</v>
      </c>
      <c r="H247" t="s">
        <v>29</v>
      </c>
      <c r="I247" t="s">
        <v>45</v>
      </c>
      <c r="J247">
        <v>82</v>
      </c>
      <c r="K247">
        <v>4</v>
      </c>
      <c r="L247">
        <v>3</v>
      </c>
      <c r="M247">
        <v>162</v>
      </c>
      <c r="N247">
        <v>161</v>
      </c>
      <c r="O247">
        <v>99.4</v>
      </c>
      <c r="P247">
        <v>99.4</v>
      </c>
      <c r="Q247">
        <v>95.4</v>
      </c>
      <c r="R247">
        <v>5</v>
      </c>
      <c r="S247">
        <v>7.4</v>
      </c>
      <c r="T247" t="s">
        <v>31</v>
      </c>
      <c r="U247">
        <v>5</v>
      </c>
      <c r="V247">
        <v>3</v>
      </c>
    </row>
    <row r="248" spans="1:22" x14ac:dyDescent="0.3">
      <c r="A248" t="s">
        <v>456</v>
      </c>
      <c r="B248" t="s">
        <v>457</v>
      </c>
      <c r="C248" t="s">
        <v>40</v>
      </c>
      <c r="D248" t="s">
        <v>49</v>
      </c>
      <c r="E248" t="s">
        <v>41</v>
      </c>
      <c r="F248" t="s">
        <v>72</v>
      </c>
      <c r="G248" t="s">
        <v>63</v>
      </c>
      <c r="H248" t="s">
        <v>29</v>
      </c>
      <c r="I248" t="s">
        <v>82</v>
      </c>
      <c r="J248">
        <v>97</v>
      </c>
      <c r="K248">
        <v>0</v>
      </c>
      <c r="L248">
        <v>0</v>
      </c>
      <c r="M248">
        <v>110</v>
      </c>
      <c r="N248">
        <v>96</v>
      </c>
      <c r="O248">
        <v>87.3</v>
      </c>
      <c r="P248">
        <v>86.3</v>
      </c>
      <c r="Q248">
        <v>85.3</v>
      </c>
      <c r="R248">
        <v>4.2</v>
      </c>
      <c r="S248">
        <v>8.3000000000000007</v>
      </c>
      <c r="T248" t="s">
        <v>31</v>
      </c>
      <c r="U248">
        <v>7</v>
      </c>
      <c r="V248">
        <v>12</v>
      </c>
    </row>
    <row r="249" spans="1:22" x14ac:dyDescent="0.3">
      <c r="A249" t="s">
        <v>458</v>
      </c>
      <c r="B249" t="s">
        <v>399</v>
      </c>
      <c r="C249" t="s">
        <v>24</v>
      </c>
      <c r="D249" t="s">
        <v>25</v>
      </c>
      <c r="E249" t="s">
        <v>71</v>
      </c>
      <c r="F249" t="s">
        <v>27</v>
      </c>
      <c r="G249" t="s">
        <v>76</v>
      </c>
      <c r="H249" t="s">
        <v>29</v>
      </c>
      <c r="I249" t="s">
        <v>92</v>
      </c>
      <c r="J249">
        <v>96</v>
      </c>
      <c r="K249">
        <v>1</v>
      </c>
      <c r="L249">
        <v>9</v>
      </c>
      <c r="M249">
        <v>100</v>
      </c>
      <c r="N249">
        <v>87</v>
      </c>
      <c r="O249">
        <v>87</v>
      </c>
      <c r="P249">
        <v>88</v>
      </c>
      <c r="Q249">
        <v>82</v>
      </c>
      <c r="R249">
        <v>4.0999999999999996</v>
      </c>
      <c r="S249">
        <v>8</v>
      </c>
      <c r="T249" t="s">
        <v>31</v>
      </c>
      <c r="U249">
        <v>5</v>
      </c>
      <c r="V249">
        <v>2</v>
      </c>
    </row>
    <row r="250" spans="1:22" x14ac:dyDescent="0.3">
      <c r="A250" t="s">
        <v>459</v>
      </c>
      <c r="B250" t="s">
        <v>234</v>
      </c>
      <c r="C250" t="s">
        <v>40</v>
      </c>
      <c r="D250" t="s">
        <v>25</v>
      </c>
      <c r="E250" t="s">
        <v>34</v>
      </c>
      <c r="F250" t="s">
        <v>91</v>
      </c>
      <c r="G250" t="s">
        <v>76</v>
      </c>
      <c r="H250" t="s">
        <v>44</v>
      </c>
      <c r="I250" t="s">
        <v>64</v>
      </c>
      <c r="J250">
        <v>87</v>
      </c>
      <c r="K250">
        <v>3</v>
      </c>
      <c r="L250">
        <v>22</v>
      </c>
      <c r="M250">
        <v>97</v>
      </c>
      <c r="N250">
        <v>97</v>
      </c>
      <c r="O250">
        <v>100</v>
      </c>
      <c r="P250">
        <v>97</v>
      </c>
      <c r="Q250">
        <v>92</v>
      </c>
      <c r="R250">
        <v>4.9000000000000004</v>
      </c>
      <c r="S250">
        <v>7.6</v>
      </c>
      <c r="T250" t="s">
        <v>46</v>
      </c>
      <c r="U250">
        <v>1</v>
      </c>
      <c r="V250">
        <v>10</v>
      </c>
    </row>
    <row r="251" spans="1:22" x14ac:dyDescent="0.3">
      <c r="A251" t="s">
        <v>460</v>
      </c>
      <c r="B251" t="s">
        <v>166</v>
      </c>
      <c r="C251" t="s">
        <v>24</v>
      </c>
      <c r="D251" t="s">
        <v>49</v>
      </c>
      <c r="E251" t="s">
        <v>71</v>
      </c>
      <c r="F251" t="s">
        <v>72</v>
      </c>
      <c r="G251" t="s">
        <v>36</v>
      </c>
      <c r="H251" t="s">
        <v>56</v>
      </c>
      <c r="I251" t="s">
        <v>64</v>
      </c>
      <c r="J251">
        <v>99</v>
      </c>
      <c r="K251">
        <v>0</v>
      </c>
      <c r="L251">
        <v>5</v>
      </c>
      <c r="M251">
        <v>125</v>
      </c>
      <c r="N251">
        <v>120</v>
      </c>
      <c r="O251">
        <v>96</v>
      </c>
      <c r="P251">
        <v>96</v>
      </c>
      <c r="Q251">
        <v>96</v>
      </c>
      <c r="R251">
        <v>4.9000000000000004</v>
      </c>
      <c r="S251">
        <v>7.8</v>
      </c>
      <c r="T251" t="s">
        <v>46</v>
      </c>
      <c r="U251">
        <v>0</v>
      </c>
      <c r="V251">
        <v>4</v>
      </c>
    </row>
    <row r="252" spans="1:22" x14ac:dyDescent="0.3">
      <c r="A252" t="s">
        <v>461</v>
      </c>
      <c r="B252" t="s">
        <v>250</v>
      </c>
      <c r="C252" t="s">
        <v>40</v>
      </c>
      <c r="D252" t="s">
        <v>49</v>
      </c>
      <c r="E252" t="s">
        <v>34</v>
      </c>
      <c r="F252" t="s">
        <v>42</v>
      </c>
      <c r="G252" t="s">
        <v>28</v>
      </c>
      <c r="H252" t="s">
        <v>29</v>
      </c>
      <c r="I252" t="s">
        <v>51</v>
      </c>
      <c r="J252">
        <v>84</v>
      </c>
      <c r="K252">
        <v>4</v>
      </c>
      <c r="L252">
        <v>0</v>
      </c>
      <c r="M252">
        <v>136</v>
      </c>
      <c r="N252">
        <v>118</v>
      </c>
      <c r="O252">
        <v>86.8</v>
      </c>
      <c r="P252">
        <v>85.8</v>
      </c>
      <c r="Q252">
        <v>88.8</v>
      </c>
      <c r="R252">
        <v>4</v>
      </c>
      <c r="S252">
        <v>8.6999999999999993</v>
      </c>
      <c r="T252" t="s">
        <v>31</v>
      </c>
      <c r="U252">
        <v>7</v>
      </c>
      <c r="V252">
        <v>2</v>
      </c>
    </row>
    <row r="253" spans="1:22" x14ac:dyDescent="0.3">
      <c r="A253" t="s">
        <v>462</v>
      </c>
      <c r="B253" t="s">
        <v>441</v>
      </c>
      <c r="C253" t="s">
        <v>40</v>
      </c>
      <c r="D253" t="s">
        <v>25</v>
      </c>
      <c r="E253" t="s">
        <v>26</v>
      </c>
      <c r="F253" t="s">
        <v>91</v>
      </c>
      <c r="G253" t="s">
        <v>28</v>
      </c>
      <c r="H253" t="s">
        <v>29</v>
      </c>
      <c r="I253" t="s">
        <v>92</v>
      </c>
      <c r="J253">
        <v>99</v>
      </c>
      <c r="K253">
        <v>0</v>
      </c>
      <c r="L253">
        <v>2</v>
      </c>
      <c r="M253">
        <v>177</v>
      </c>
      <c r="N253">
        <v>158</v>
      </c>
      <c r="O253">
        <v>89.3</v>
      </c>
      <c r="P253">
        <v>89.3</v>
      </c>
      <c r="Q253">
        <v>93.3</v>
      </c>
      <c r="R253">
        <v>4.4000000000000004</v>
      </c>
      <c r="S253">
        <v>8</v>
      </c>
      <c r="T253" t="s">
        <v>31</v>
      </c>
      <c r="U253">
        <v>4</v>
      </c>
      <c r="V253">
        <v>6</v>
      </c>
    </row>
    <row r="254" spans="1:22" x14ac:dyDescent="0.3">
      <c r="A254" t="s">
        <v>463</v>
      </c>
      <c r="B254" t="s">
        <v>293</v>
      </c>
      <c r="C254" t="s">
        <v>40</v>
      </c>
      <c r="D254" t="s">
        <v>25</v>
      </c>
      <c r="E254" t="s">
        <v>67</v>
      </c>
      <c r="F254" t="s">
        <v>54</v>
      </c>
      <c r="G254" t="s">
        <v>43</v>
      </c>
      <c r="H254" t="s">
        <v>29</v>
      </c>
      <c r="I254" t="s">
        <v>79</v>
      </c>
      <c r="J254">
        <v>91</v>
      </c>
      <c r="K254">
        <v>2</v>
      </c>
      <c r="L254">
        <v>11</v>
      </c>
      <c r="M254">
        <v>90</v>
      </c>
      <c r="N254">
        <v>80</v>
      </c>
      <c r="O254">
        <v>88.9</v>
      </c>
      <c r="P254">
        <v>89.9</v>
      </c>
      <c r="Q254">
        <v>86.9</v>
      </c>
      <c r="R254">
        <v>4.3</v>
      </c>
      <c r="S254">
        <v>8.3000000000000007</v>
      </c>
      <c r="T254" t="s">
        <v>31</v>
      </c>
      <c r="U254">
        <v>5</v>
      </c>
      <c r="V254">
        <v>8</v>
      </c>
    </row>
    <row r="255" spans="1:22" x14ac:dyDescent="0.3">
      <c r="A255" t="s">
        <v>464</v>
      </c>
      <c r="B255" t="s">
        <v>190</v>
      </c>
      <c r="C255" t="s">
        <v>40</v>
      </c>
      <c r="D255" t="s">
        <v>25</v>
      </c>
      <c r="E255" t="s">
        <v>71</v>
      </c>
      <c r="F255" t="s">
        <v>72</v>
      </c>
      <c r="G255" t="s">
        <v>63</v>
      </c>
      <c r="H255" t="s">
        <v>29</v>
      </c>
      <c r="I255" t="s">
        <v>51</v>
      </c>
      <c r="J255">
        <v>94</v>
      </c>
      <c r="K255">
        <v>1</v>
      </c>
      <c r="L255">
        <v>7</v>
      </c>
      <c r="M255">
        <v>151</v>
      </c>
      <c r="N255">
        <v>148</v>
      </c>
      <c r="O255">
        <v>98</v>
      </c>
      <c r="P255">
        <v>100</v>
      </c>
      <c r="Q255">
        <v>94</v>
      </c>
      <c r="R255">
        <v>5</v>
      </c>
      <c r="S255">
        <v>7.8</v>
      </c>
      <c r="T255" t="s">
        <v>46</v>
      </c>
      <c r="U255">
        <v>0</v>
      </c>
      <c r="V255">
        <v>6</v>
      </c>
    </row>
    <row r="256" spans="1:22" x14ac:dyDescent="0.3">
      <c r="A256" t="s">
        <v>465</v>
      </c>
      <c r="B256" t="s">
        <v>466</v>
      </c>
      <c r="C256" t="s">
        <v>24</v>
      </c>
      <c r="D256" t="s">
        <v>25</v>
      </c>
      <c r="E256" t="s">
        <v>34</v>
      </c>
      <c r="F256" t="s">
        <v>54</v>
      </c>
      <c r="G256" t="s">
        <v>28</v>
      </c>
      <c r="H256" t="s">
        <v>29</v>
      </c>
      <c r="I256" t="s">
        <v>79</v>
      </c>
      <c r="J256">
        <v>88</v>
      </c>
      <c r="K256">
        <v>3</v>
      </c>
      <c r="L256">
        <v>9</v>
      </c>
      <c r="M256">
        <v>118</v>
      </c>
      <c r="N256">
        <v>107</v>
      </c>
      <c r="O256">
        <v>90.7</v>
      </c>
      <c r="P256">
        <v>87.7</v>
      </c>
      <c r="Q256">
        <v>90.7</v>
      </c>
      <c r="R256">
        <v>4</v>
      </c>
      <c r="S256">
        <v>8.5</v>
      </c>
      <c r="T256" t="s">
        <v>46</v>
      </c>
      <c r="U256">
        <v>0</v>
      </c>
      <c r="V256">
        <v>10</v>
      </c>
    </row>
    <row r="257" spans="1:22" x14ac:dyDescent="0.3">
      <c r="A257" t="s">
        <v>467</v>
      </c>
      <c r="B257" t="s">
        <v>100</v>
      </c>
      <c r="C257" t="s">
        <v>24</v>
      </c>
      <c r="D257" t="s">
        <v>49</v>
      </c>
      <c r="E257" t="s">
        <v>67</v>
      </c>
      <c r="F257" t="s">
        <v>35</v>
      </c>
      <c r="G257" t="s">
        <v>43</v>
      </c>
      <c r="H257" t="s">
        <v>44</v>
      </c>
      <c r="I257" t="s">
        <v>30</v>
      </c>
      <c r="J257">
        <v>90</v>
      </c>
      <c r="K257">
        <v>2</v>
      </c>
      <c r="L257">
        <v>7</v>
      </c>
      <c r="M257">
        <v>177</v>
      </c>
      <c r="N257">
        <v>174</v>
      </c>
      <c r="O257">
        <v>98.3</v>
      </c>
      <c r="P257">
        <v>100</v>
      </c>
      <c r="Q257">
        <v>93.3</v>
      </c>
      <c r="R257">
        <v>5</v>
      </c>
      <c r="S257">
        <v>8</v>
      </c>
      <c r="T257" t="s">
        <v>46</v>
      </c>
      <c r="U257">
        <v>1</v>
      </c>
      <c r="V257">
        <v>7</v>
      </c>
    </row>
    <row r="258" spans="1:22" x14ac:dyDescent="0.3">
      <c r="A258" t="s">
        <v>468</v>
      </c>
      <c r="B258" t="s">
        <v>469</v>
      </c>
      <c r="C258" t="s">
        <v>40</v>
      </c>
      <c r="D258" t="s">
        <v>49</v>
      </c>
      <c r="E258" t="s">
        <v>50</v>
      </c>
      <c r="F258" t="s">
        <v>42</v>
      </c>
      <c r="G258" t="s">
        <v>63</v>
      </c>
      <c r="H258" t="s">
        <v>44</v>
      </c>
      <c r="I258" t="s">
        <v>68</v>
      </c>
      <c r="J258">
        <v>98</v>
      </c>
      <c r="K258">
        <v>0</v>
      </c>
      <c r="L258">
        <v>6</v>
      </c>
      <c r="M258">
        <v>148</v>
      </c>
      <c r="N258">
        <v>145</v>
      </c>
      <c r="O258">
        <v>98</v>
      </c>
      <c r="P258">
        <v>96</v>
      </c>
      <c r="Q258">
        <v>90</v>
      </c>
      <c r="R258">
        <v>4.9000000000000004</v>
      </c>
      <c r="S258">
        <v>7.8</v>
      </c>
      <c r="T258" t="s">
        <v>46</v>
      </c>
      <c r="U258">
        <v>0</v>
      </c>
      <c r="V258">
        <v>11</v>
      </c>
    </row>
    <row r="259" spans="1:22" x14ac:dyDescent="0.3">
      <c r="A259" t="s">
        <v>470</v>
      </c>
      <c r="B259" t="s">
        <v>59</v>
      </c>
      <c r="C259" t="s">
        <v>40</v>
      </c>
      <c r="D259" t="s">
        <v>25</v>
      </c>
      <c r="E259" t="s">
        <v>41</v>
      </c>
      <c r="F259" t="s">
        <v>42</v>
      </c>
      <c r="G259" t="s">
        <v>43</v>
      </c>
      <c r="H259" t="s">
        <v>29</v>
      </c>
      <c r="I259" t="s">
        <v>79</v>
      </c>
      <c r="J259">
        <v>83</v>
      </c>
      <c r="K259">
        <v>4</v>
      </c>
      <c r="L259">
        <v>12</v>
      </c>
      <c r="M259">
        <v>114</v>
      </c>
      <c r="N259">
        <v>111</v>
      </c>
      <c r="O259">
        <v>97.4</v>
      </c>
      <c r="P259">
        <v>100</v>
      </c>
      <c r="Q259">
        <v>98.4</v>
      </c>
      <c r="R259">
        <v>5</v>
      </c>
      <c r="S259">
        <v>7.3</v>
      </c>
      <c r="T259" t="s">
        <v>46</v>
      </c>
      <c r="U259">
        <v>2</v>
      </c>
      <c r="V259">
        <v>0</v>
      </c>
    </row>
    <row r="260" spans="1:22" x14ac:dyDescent="0.3">
      <c r="A260" t="s">
        <v>471</v>
      </c>
      <c r="B260" t="s">
        <v>472</v>
      </c>
      <c r="C260" t="s">
        <v>40</v>
      </c>
      <c r="D260" t="s">
        <v>25</v>
      </c>
      <c r="E260" t="s">
        <v>34</v>
      </c>
      <c r="F260" t="s">
        <v>35</v>
      </c>
      <c r="G260" t="s">
        <v>28</v>
      </c>
      <c r="H260" t="s">
        <v>56</v>
      </c>
      <c r="I260" t="s">
        <v>79</v>
      </c>
      <c r="J260">
        <v>99</v>
      </c>
      <c r="K260">
        <v>0</v>
      </c>
      <c r="L260">
        <v>19</v>
      </c>
      <c r="M260">
        <v>167</v>
      </c>
      <c r="N260">
        <v>146</v>
      </c>
      <c r="O260">
        <v>87.4</v>
      </c>
      <c r="P260">
        <v>88.4</v>
      </c>
      <c r="Q260">
        <v>88.4</v>
      </c>
      <c r="R260">
        <v>4.2</v>
      </c>
      <c r="S260">
        <v>7.9</v>
      </c>
      <c r="T260" t="s">
        <v>31</v>
      </c>
      <c r="U260">
        <v>3</v>
      </c>
      <c r="V260">
        <v>3</v>
      </c>
    </row>
    <row r="261" spans="1:22" x14ac:dyDescent="0.3">
      <c r="A261" t="s">
        <v>473</v>
      </c>
      <c r="B261" t="s">
        <v>413</v>
      </c>
      <c r="C261" t="s">
        <v>24</v>
      </c>
      <c r="D261" t="s">
        <v>25</v>
      </c>
      <c r="E261" t="s">
        <v>26</v>
      </c>
      <c r="F261" t="s">
        <v>54</v>
      </c>
      <c r="G261" t="s">
        <v>76</v>
      </c>
      <c r="H261" t="s">
        <v>44</v>
      </c>
      <c r="I261" t="s">
        <v>68</v>
      </c>
      <c r="J261">
        <v>100</v>
      </c>
      <c r="K261">
        <v>0</v>
      </c>
      <c r="L261">
        <v>8</v>
      </c>
      <c r="M261">
        <v>175</v>
      </c>
      <c r="N261">
        <v>150</v>
      </c>
      <c r="O261">
        <v>85.7</v>
      </c>
      <c r="P261">
        <v>83.7</v>
      </c>
      <c r="Q261">
        <v>92.7</v>
      </c>
      <c r="R261">
        <v>3.9</v>
      </c>
      <c r="S261">
        <v>8.6999999999999993</v>
      </c>
      <c r="T261" t="s">
        <v>31</v>
      </c>
      <c r="U261">
        <v>4</v>
      </c>
      <c r="V261">
        <v>12</v>
      </c>
    </row>
    <row r="262" spans="1:22" x14ac:dyDescent="0.3">
      <c r="A262" t="s">
        <v>474</v>
      </c>
      <c r="B262" t="s">
        <v>475</v>
      </c>
      <c r="C262" t="s">
        <v>24</v>
      </c>
      <c r="D262" t="s">
        <v>25</v>
      </c>
      <c r="E262" t="s">
        <v>67</v>
      </c>
      <c r="F262" t="s">
        <v>35</v>
      </c>
      <c r="G262" t="s">
        <v>55</v>
      </c>
      <c r="H262" t="s">
        <v>29</v>
      </c>
      <c r="I262" t="s">
        <v>45</v>
      </c>
      <c r="J262">
        <v>84</v>
      </c>
      <c r="K262">
        <v>4</v>
      </c>
      <c r="L262">
        <v>18</v>
      </c>
      <c r="M262">
        <v>140</v>
      </c>
      <c r="N262">
        <v>120</v>
      </c>
      <c r="O262">
        <v>85.7</v>
      </c>
      <c r="P262">
        <v>86.7</v>
      </c>
      <c r="Q262">
        <v>80.7</v>
      </c>
      <c r="R262">
        <v>4</v>
      </c>
      <c r="S262">
        <v>8.9</v>
      </c>
      <c r="T262" t="s">
        <v>31</v>
      </c>
      <c r="U262">
        <v>6</v>
      </c>
      <c r="V262">
        <v>3</v>
      </c>
    </row>
    <row r="263" spans="1:22" x14ac:dyDescent="0.3">
      <c r="A263" t="s">
        <v>476</v>
      </c>
      <c r="B263" t="s">
        <v>140</v>
      </c>
      <c r="C263" t="s">
        <v>24</v>
      </c>
      <c r="D263" t="s">
        <v>25</v>
      </c>
      <c r="E263" t="s">
        <v>34</v>
      </c>
      <c r="F263" t="s">
        <v>42</v>
      </c>
      <c r="G263" t="s">
        <v>55</v>
      </c>
      <c r="H263" t="s">
        <v>56</v>
      </c>
      <c r="I263" t="s">
        <v>45</v>
      </c>
      <c r="J263">
        <v>87</v>
      </c>
      <c r="K263">
        <v>3</v>
      </c>
      <c r="L263">
        <v>20</v>
      </c>
      <c r="M263">
        <v>151</v>
      </c>
      <c r="N263">
        <v>146</v>
      </c>
      <c r="O263">
        <v>96.7</v>
      </c>
      <c r="P263">
        <v>99.7</v>
      </c>
      <c r="Q263">
        <v>91.7</v>
      </c>
      <c r="R263">
        <v>5</v>
      </c>
      <c r="S263">
        <v>7.2</v>
      </c>
      <c r="T263" t="s">
        <v>46</v>
      </c>
      <c r="U263">
        <v>0</v>
      </c>
      <c r="V263">
        <v>4</v>
      </c>
    </row>
    <row r="264" spans="1:22" x14ac:dyDescent="0.3">
      <c r="A264" t="s">
        <v>477</v>
      </c>
      <c r="B264" t="s">
        <v>413</v>
      </c>
      <c r="C264" t="s">
        <v>24</v>
      </c>
      <c r="D264" t="s">
        <v>25</v>
      </c>
      <c r="E264" t="s">
        <v>26</v>
      </c>
      <c r="F264" t="s">
        <v>35</v>
      </c>
      <c r="G264" t="s">
        <v>55</v>
      </c>
      <c r="H264" t="s">
        <v>56</v>
      </c>
      <c r="I264" t="s">
        <v>92</v>
      </c>
      <c r="J264">
        <v>99</v>
      </c>
      <c r="K264">
        <v>0</v>
      </c>
      <c r="L264">
        <v>23</v>
      </c>
      <c r="M264">
        <v>112</v>
      </c>
      <c r="N264">
        <v>105</v>
      </c>
      <c r="O264">
        <v>93.8</v>
      </c>
      <c r="P264">
        <v>94.8</v>
      </c>
      <c r="Q264">
        <v>91.8</v>
      </c>
      <c r="R264">
        <v>4.5999999999999996</v>
      </c>
      <c r="S264">
        <v>7.4</v>
      </c>
      <c r="T264" t="s">
        <v>46</v>
      </c>
      <c r="U264">
        <v>2</v>
      </c>
      <c r="V264">
        <v>7</v>
      </c>
    </row>
    <row r="265" spans="1:22" x14ac:dyDescent="0.3">
      <c r="A265" t="s">
        <v>478</v>
      </c>
      <c r="B265" t="s">
        <v>234</v>
      </c>
      <c r="C265" t="s">
        <v>40</v>
      </c>
      <c r="D265" t="s">
        <v>49</v>
      </c>
      <c r="E265" t="s">
        <v>26</v>
      </c>
      <c r="F265" t="s">
        <v>27</v>
      </c>
      <c r="G265" t="s">
        <v>76</v>
      </c>
      <c r="H265" t="s">
        <v>56</v>
      </c>
      <c r="I265" t="s">
        <v>57</v>
      </c>
      <c r="J265">
        <v>88</v>
      </c>
      <c r="K265">
        <v>3</v>
      </c>
      <c r="L265">
        <v>19</v>
      </c>
      <c r="M265">
        <v>125</v>
      </c>
      <c r="N265">
        <v>111</v>
      </c>
      <c r="O265">
        <v>88.8</v>
      </c>
      <c r="P265">
        <v>91.8</v>
      </c>
      <c r="Q265">
        <v>85.8</v>
      </c>
      <c r="R265">
        <v>4.5999999999999996</v>
      </c>
      <c r="S265">
        <v>8</v>
      </c>
      <c r="T265" t="s">
        <v>31</v>
      </c>
      <c r="U265">
        <v>3</v>
      </c>
      <c r="V265">
        <v>5</v>
      </c>
    </row>
    <row r="266" spans="1:22" x14ac:dyDescent="0.3">
      <c r="A266" t="s">
        <v>479</v>
      </c>
      <c r="B266" t="s">
        <v>480</v>
      </c>
      <c r="C266" t="s">
        <v>40</v>
      </c>
      <c r="D266" t="s">
        <v>49</v>
      </c>
      <c r="E266" t="s">
        <v>67</v>
      </c>
      <c r="F266" t="s">
        <v>91</v>
      </c>
      <c r="G266" t="s">
        <v>63</v>
      </c>
      <c r="H266" t="s">
        <v>44</v>
      </c>
      <c r="I266" t="s">
        <v>37</v>
      </c>
      <c r="J266">
        <v>97</v>
      </c>
      <c r="K266">
        <v>0</v>
      </c>
      <c r="L266">
        <v>1</v>
      </c>
      <c r="M266">
        <v>127</v>
      </c>
      <c r="N266">
        <v>126</v>
      </c>
      <c r="O266">
        <v>99.2</v>
      </c>
      <c r="P266">
        <v>99.2</v>
      </c>
      <c r="Q266">
        <v>96.2</v>
      </c>
      <c r="R266">
        <v>5</v>
      </c>
      <c r="S266">
        <v>7.7</v>
      </c>
      <c r="T266" t="s">
        <v>46</v>
      </c>
      <c r="U266">
        <v>0</v>
      </c>
      <c r="V266">
        <v>7</v>
      </c>
    </row>
    <row r="267" spans="1:22" x14ac:dyDescent="0.3">
      <c r="A267" t="s">
        <v>481</v>
      </c>
      <c r="B267" t="s">
        <v>482</v>
      </c>
      <c r="C267" t="s">
        <v>40</v>
      </c>
      <c r="D267" t="s">
        <v>49</v>
      </c>
      <c r="E267" t="s">
        <v>26</v>
      </c>
      <c r="F267" t="s">
        <v>91</v>
      </c>
      <c r="G267" t="s">
        <v>28</v>
      </c>
      <c r="H267" t="s">
        <v>44</v>
      </c>
      <c r="I267" t="s">
        <v>60</v>
      </c>
      <c r="J267">
        <v>88</v>
      </c>
      <c r="K267">
        <v>3</v>
      </c>
      <c r="L267">
        <v>7</v>
      </c>
      <c r="M267">
        <v>124</v>
      </c>
      <c r="N267">
        <v>112</v>
      </c>
      <c r="O267">
        <v>90.3</v>
      </c>
      <c r="P267">
        <v>86.3</v>
      </c>
      <c r="Q267">
        <v>83.3</v>
      </c>
      <c r="R267">
        <v>4.0999999999999996</v>
      </c>
      <c r="S267">
        <v>7.8</v>
      </c>
      <c r="T267" t="s">
        <v>46</v>
      </c>
      <c r="U267">
        <v>2</v>
      </c>
      <c r="V267">
        <v>3</v>
      </c>
    </row>
    <row r="268" spans="1:22" x14ac:dyDescent="0.3">
      <c r="A268" t="s">
        <v>483</v>
      </c>
      <c r="B268" t="s">
        <v>180</v>
      </c>
      <c r="C268" t="s">
        <v>24</v>
      </c>
      <c r="D268" t="s">
        <v>25</v>
      </c>
      <c r="E268" t="s">
        <v>26</v>
      </c>
      <c r="F268" t="s">
        <v>27</v>
      </c>
      <c r="G268" t="s">
        <v>55</v>
      </c>
      <c r="H268" t="s">
        <v>29</v>
      </c>
      <c r="I268" t="s">
        <v>92</v>
      </c>
      <c r="J268">
        <v>90</v>
      </c>
      <c r="K268">
        <v>2</v>
      </c>
      <c r="L268">
        <v>2</v>
      </c>
      <c r="M268">
        <v>140</v>
      </c>
      <c r="N268">
        <v>131</v>
      </c>
      <c r="O268">
        <v>93.6</v>
      </c>
      <c r="P268">
        <v>91.6</v>
      </c>
      <c r="Q268">
        <v>101.6</v>
      </c>
      <c r="R268">
        <v>4.4000000000000004</v>
      </c>
      <c r="S268">
        <v>8.3000000000000007</v>
      </c>
      <c r="T268" t="s">
        <v>46</v>
      </c>
      <c r="U268">
        <v>0</v>
      </c>
      <c r="V268">
        <v>6</v>
      </c>
    </row>
    <row r="269" spans="1:22" x14ac:dyDescent="0.3">
      <c r="A269" t="s">
        <v>484</v>
      </c>
      <c r="B269" t="s">
        <v>96</v>
      </c>
      <c r="C269" t="s">
        <v>40</v>
      </c>
      <c r="D269" t="s">
        <v>25</v>
      </c>
      <c r="E269" t="s">
        <v>41</v>
      </c>
      <c r="F269" t="s">
        <v>27</v>
      </c>
      <c r="G269" t="s">
        <v>76</v>
      </c>
      <c r="H269" t="s">
        <v>56</v>
      </c>
      <c r="I269" t="s">
        <v>45</v>
      </c>
      <c r="J269">
        <v>88</v>
      </c>
      <c r="K269">
        <v>3</v>
      </c>
      <c r="L269">
        <v>25</v>
      </c>
      <c r="M269">
        <v>176</v>
      </c>
      <c r="N269">
        <v>171</v>
      </c>
      <c r="O269">
        <v>97.2</v>
      </c>
      <c r="P269">
        <v>97.2</v>
      </c>
      <c r="Q269">
        <v>91.2</v>
      </c>
      <c r="R269">
        <v>5</v>
      </c>
      <c r="S269">
        <v>7.4</v>
      </c>
      <c r="T269" t="s">
        <v>46</v>
      </c>
      <c r="U269">
        <v>1</v>
      </c>
      <c r="V269">
        <v>11</v>
      </c>
    </row>
    <row r="270" spans="1:22" x14ac:dyDescent="0.3">
      <c r="A270" t="s">
        <v>485</v>
      </c>
      <c r="B270" t="s">
        <v>451</v>
      </c>
      <c r="C270" t="s">
        <v>40</v>
      </c>
      <c r="D270" t="s">
        <v>25</v>
      </c>
      <c r="E270" t="s">
        <v>41</v>
      </c>
      <c r="F270" t="s">
        <v>91</v>
      </c>
      <c r="G270" t="s">
        <v>76</v>
      </c>
      <c r="H270" t="s">
        <v>56</v>
      </c>
      <c r="I270" t="s">
        <v>64</v>
      </c>
      <c r="J270">
        <v>91</v>
      </c>
      <c r="K270">
        <v>2</v>
      </c>
      <c r="L270">
        <v>2</v>
      </c>
      <c r="M270">
        <v>93</v>
      </c>
      <c r="N270">
        <v>87</v>
      </c>
      <c r="O270">
        <v>93.5</v>
      </c>
      <c r="P270">
        <v>97.5</v>
      </c>
      <c r="Q270">
        <v>87.5</v>
      </c>
      <c r="R270">
        <v>5</v>
      </c>
      <c r="S270">
        <v>7.9</v>
      </c>
      <c r="T270" t="s">
        <v>46</v>
      </c>
      <c r="U270">
        <v>2</v>
      </c>
      <c r="V270">
        <v>8</v>
      </c>
    </row>
    <row r="271" spans="1:22" x14ac:dyDescent="0.3">
      <c r="A271" t="s">
        <v>486</v>
      </c>
      <c r="B271" t="s">
        <v>487</v>
      </c>
      <c r="C271" t="s">
        <v>40</v>
      </c>
      <c r="D271" t="s">
        <v>25</v>
      </c>
      <c r="E271" t="s">
        <v>71</v>
      </c>
      <c r="F271" t="s">
        <v>35</v>
      </c>
      <c r="G271" t="s">
        <v>43</v>
      </c>
      <c r="H271" t="s">
        <v>29</v>
      </c>
      <c r="I271" t="s">
        <v>68</v>
      </c>
      <c r="J271">
        <v>85</v>
      </c>
      <c r="K271">
        <v>3</v>
      </c>
      <c r="L271">
        <v>11</v>
      </c>
      <c r="M271">
        <v>126</v>
      </c>
      <c r="N271">
        <v>121</v>
      </c>
      <c r="O271">
        <v>96</v>
      </c>
      <c r="P271">
        <v>100</v>
      </c>
      <c r="Q271">
        <v>93</v>
      </c>
      <c r="R271">
        <v>5</v>
      </c>
      <c r="S271">
        <v>7.4</v>
      </c>
      <c r="T271" t="s">
        <v>31</v>
      </c>
      <c r="U271">
        <v>3</v>
      </c>
      <c r="V271">
        <v>7</v>
      </c>
    </row>
    <row r="272" spans="1:22" x14ac:dyDescent="0.3">
      <c r="A272" t="s">
        <v>488</v>
      </c>
      <c r="B272" t="s">
        <v>111</v>
      </c>
      <c r="C272" t="s">
        <v>24</v>
      </c>
      <c r="D272" t="s">
        <v>25</v>
      </c>
      <c r="E272" t="s">
        <v>41</v>
      </c>
      <c r="F272" t="s">
        <v>27</v>
      </c>
      <c r="G272" t="s">
        <v>43</v>
      </c>
      <c r="H272" t="s">
        <v>29</v>
      </c>
      <c r="I272" t="s">
        <v>45</v>
      </c>
      <c r="J272">
        <v>88</v>
      </c>
      <c r="K272">
        <v>3</v>
      </c>
      <c r="L272">
        <v>1</v>
      </c>
      <c r="M272">
        <v>146</v>
      </c>
      <c r="N272">
        <v>120</v>
      </c>
      <c r="O272">
        <v>82.2</v>
      </c>
      <c r="P272">
        <v>86.2</v>
      </c>
      <c r="Q272">
        <v>79.2</v>
      </c>
      <c r="R272">
        <v>4.0999999999999996</v>
      </c>
      <c r="S272">
        <v>9.1</v>
      </c>
      <c r="T272" t="s">
        <v>31</v>
      </c>
      <c r="U272">
        <v>5</v>
      </c>
      <c r="V272">
        <v>0</v>
      </c>
    </row>
    <row r="273" spans="1:22" x14ac:dyDescent="0.3">
      <c r="A273" t="s">
        <v>489</v>
      </c>
      <c r="B273" t="s">
        <v>490</v>
      </c>
      <c r="C273" t="s">
        <v>24</v>
      </c>
      <c r="D273" t="s">
        <v>49</v>
      </c>
      <c r="E273" t="s">
        <v>50</v>
      </c>
      <c r="F273" t="s">
        <v>27</v>
      </c>
      <c r="G273" t="s">
        <v>28</v>
      </c>
      <c r="H273" t="s">
        <v>44</v>
      </c>
      <c r="I273" t="s">
        <v>45</v>
      </c>
      <c r="J273">
        <v>100</v>
      </c>
      <c r="K273">
        <v>0</v>
      </c>
      <c r="L273">
        <v>3</v>
      </c>
      <c r="M273">
        <v>120</v>
      </c>
      <c r="N273">
        <v>98</v>
      </c>
      <c r="O273">
        <v>81.7</v>
      </c>
      <c r="P273">
        <v>85.7</v>
      </c>
      <c r="Q273">
        <v>75.7</v>
      </c>
      <c r="R273">
        <v>3.9</v>
      </c>
      <c r="S273">
        <v>8.9</v>
      </c>
      <c r="T273" t="s">
        <v>31</v>
      </c>
      <c r="U273">
        <v>6</v>
      </c>
      <c r="V273">
        <v>12</v>
      </c>
    </row>
    <row r="274" spans="1:22" x14ac:dyDescent="0.3">
      <c r="A274" t="s">
        <v>491</v>
      </c>
      <c r="B274" t="s">
        <v>344</v>
      </c>
      <c r="C274" t="s">
        <v>40</v>
      </c>
      <c r="D274" t="s">
        <v>49</v>
      </c>
      <c r="E274" t="s">
        <v>34</v>
      </c>
      <c r="F274" t="s">
        <v>27</v>
      </c>
      <c r="G274" t="s">
        <v>76</v>
      </c>
      <c r="H274" t="s">
        <v>29</v>
      </c>
      <c r="I274" t="s">
        <v>51</v>
      </c>
      <c r="J274">
        <v>100</v>
      </c>
      <c r="K274">
        <v>0</v>
      </c>
      <c r="L274">
        <v>17</v>
      </c>
      <c r="M274">
        <v>178</v>
      </c>
      <c r="N274">
        <v>162</v>
      </c>
      <c r="O274">
        <v>91</v>
      </c>
      <c r="P274">
        <v>93</v>
      </c>
      <c r="Q274">
        <v>90</v>
      </c>
      <c r="R274">
        <v>4.5</v>
      </c>
      <c r="S274">
        <v>8</v>
      </c>
      <c r="T274" t="s">
        <v>46</v>
      </c>
      <c r="U274">
        <v>2</v>
      </c>
      <c r="V274">
        <v>12</v>
      </c>
    </row>
    <row r="275" spans="1:22" x14ac:dyDescent="0.3">
      <c r="A275" t="s">
        <v>492</v>
      </c>
      <c r="B275" t="s">
        <v>75</v>
      </c>
      <c r="C275" t="s">
        <v>24</v>
      </c>
      <c r="D275" t="s">
        <v>25</v>
      </c>
      <c r="E275" t="s">
        <v>67</v>
      </c>
      <c r="F275" t="s">
        <v>72</v>
      </c>
      <c r="G275" t="s">
        <v>28</v>
      </c>
      <c r="H275" t="s">
        <v>44</v>
      </c>
      <c r="I275" t="s">
        <v>30</v>
      </c>
      <c r="J275">
        <v>83</v>
      </c>
      <c r="K275">
        <v>4</v>
      </c>
      <c r="L275">
        <v>18</v>
      </c>
      <c r="M275">
        <v>149</v>
      </c>
      <c r="N275">
        <v>140</v>
      </c>
      <c r="O275">
        <v>94</v>
      </c>
      <c r="P275">
        <v>92</v>
      </c>
      <c r="Q275">
        <v>89</v>
      </c>
      <c r="R275">
        <v>4.5999999999999996</v>
      </c>
      <c r="S275">
        <v>7.5</v>
      </c>
      <c r="T275" t="s">
        <v>46</v>
      </c>
      <c r="U275">
        <v>2</v>
      </c>
      <c r="V275">
        <v>11</v>
      </c>
    </row>
    <row r="276" spans="1:22" x14ac:dyDescent="0.3">
      <c r="A276" t="s">
        <v>493</v>
      </c>
      <c r="B276" t="s">
        <v>121</v>
      </c>
      <c r="C276" t="s">
        <v>40</v>
      </c>
      <c r="D276" t="s">
        <v>25</v>
      </c>
      <c r="E276" t="s">
        <v>41</v>
      </c>
      <c r="F276" t="s">
        <v>54</v>
      </c>
      <c r="G276" t="s">
        <v>55</v>
      </c>
      <c r="H276" t="s">
        <v>56</v>
      </c>
      <c r="I276" t="s">
        <v>64</v>
      </c>
      <c r="J276">
        <v>89</v>
      </c>
      <c r="K276">
        <v>2</v>
      </c>
      <c r="L276">
        <v>15</v>
      </c>
      <c r="M276">
        <v>136</v>
      </c>
      <c r="N276">
        <v>128</v>
      </c>
      <c r="O276">
        <v>94.1</v>
      </c>
      <c r="P276">
        <v>91.1</v>
      </c>
      <c r="Q276">
        <v>87.1</v>
      </c>
      <c r="R276">
        <v>4.3</v>
      </c>
      <c r="S276">
        <v>7.9</v>
      </c>
      <c r="T276" t="s">
        <v>46</v>
      </c>
      <c r="U276">
        <v>0</v>
      </c>
      <c r="V276">
        <v>6</v>
      </c>
    </row>
    <row r="277" spans="1:22" x14ac:dyDescent="0.3">
      <c r="A277" t="s">
        <v>494</v>
      </c>
      <c r="B277" t="s">
        <v>495</v>
      </c>
      <c r="C277" t="s">
        <v>40</v>
      </c>
      <c r="D277" t="s">
        <v>49</v>
      </c>
      <c r="E277" t="s">
        <v>71</v>
      </c>
      <c r="F277" t="s">
        <v>54</v>
      </c>
      <c r="G277" t="s">
        <v>76</v>
      </c>
      <c r="H277" t="s">
        <v>56</v>
      </c>
      <c r="I277" t="s">
        <v>79</v>
      </c>
      <c r="J277">
        <v>93</v>
      </c>
      <c r="K277">
        <v>1</v>
      </c>
      <c r="L277">
        <v>18</v>
      </c>
      <c r="M277">
        <v>139</v>
      </c>
      <c r="N277">
        <v>127</v>
      </c>
      <c r="O277">
        <v>91.4</v>
      </c>
      <c r="P277">
        <v>90.4</v>
      </c>
      <c r="Q277">
        <v>85.4</v>
      </c>
      <c r="R277">
        <v>4.3</v>
      </c>
      <c r="S277">
        <v>8.4</v>
      </c>
      <c r="T277" t="s">
        <v>46</v>
      </c>
      <c r="U277">
        <v>0</v>
      </c>
      <c r="V277">
        <v>4</v>
      </c>
    </row>
    <row r="278" spans="1:22" x14ac:dyDescent="0.3">
      <c r="A278" t="s">
        <v>496</v>
      </c>
      <c r="B278" t="s">
        <v>198</v>
      </c>
      <c r="C278" t="s">
        <v>40</v>
      </c>
      <c r="D278" t="s">
        <v>49</v>
      </c>
      <c r="E278" t="s">
        <v>34</v>
      </c>
      <c r="F278" t="s">
        <v>72</v>
      </c>
      <c r="G278" t="s">
        <v>43</v>
      </c>
      <c r="H278" t="s">
        <v>44</v>
      </c>
      <c r="I278" t="s">
        <v>73</v>
      </c>
      <c r="J278">
        <v>95</v>
      </c>
      <c r="K278">
        <v>1</v>
      </c>
      <c r="L278">
        <v>18</v>
      </c>
      <c r="M278">
        <v>96</v>
      </c>
      <c r="N278">
        <v>86</v>
      </c>
      <c r="O278">
        <v>89.6</v>
      </c>
      <c r="P278">
        <v>93.6</v>
      </c>
      <c r="Q278">
        <v>91.6</v>
      </c>
      <c r="R278">
        <v>4.8</v>
      </c>
      <c r="S278">
        <v>8.1</v>
      </c>
      <c r="T278" t="s">
        <v>31</v>
      </c>
      <c r="U278">
        <v>4</v>
      </c>
      <c r="V278">
        <v>7</v>
      </c>
    </row>
    <row r="279" spans="1:22" x14ac:dyDescent="0.3">
      <c r="A279" t="s">
        <v>497</v>
      </c>
      <c r="B279" t="s">
        <v>498</v>
      </c>
      <c r="C279" t="s">
        <v>40</v>
      </c>
      <c r="D279" t="s">
        <v>49</v>
      </c>
      <c r="E279" t="s">
        <v>71</v>
      </c>
      <c r="F279" t="s">
        <v>35</v>
      </c>
      <c r="G279" t="s">
        <v>28</v>
      </c>
      <c r="H279" t="s">
        <v>44</v>
      </c>
      <c r="I279" t="s">
        <v>79</v>
      </c>
      <c r="J279">
        <v>100</v>
      </c>
      <c r="K279">
        <v>0</v>
      </c>
      <c r="L279">
        <v>13</v>
      </c>
      <c r="M279">
        <v>115</v>
      </c>
      <c r="N279">
        <v>114</v>
      </c>
      <c r="O279">
        <v>99.1</v>
      </c>
      <c r="P279">
        <v>97.1</v>
      </c>
      <c r="Q279">
        <v>102.1</v>
      </c>
      <c r="R279">
        <v>5</v>
      </c>
      <c r="S279">
        <v>7</v>
      </c>
      <c r="T279" t="s">
        <v>46</v>
      </c>
      <c r="U279">
        <v>0</v>
      </c>
      <c r="V279">
        <v>6</v>
      </c>
    </row>
    <row r="280" spans="1:22" x14ac:dyDescent="0.3">
      <c r="A280" t="s">
        <v>499</v>
      </c>
      <c r="B280" t="s">
        <v>387</v>
      </c>
      <c r="C280" t="s">
        <v>40</v>
      </c>
      <c r="D280" t="s">
        <v>25</v>
      </c>
      <c r="E280" t="s">
        <v>71</v>
      </c>
      <c r="F280" t="s">
        <v>72</v>
      </c>
      <c r="G280" t="s">
        <v>76</v>
      </c>
      <c r="H280" t="s">
        <v>29</v>
      </c>
      <c r="I280" t="s">
        <v>30</v>
      </c>
      <c r="J280">
        <v>90</v>
      </c>
      <c r="K280">
        <v>2</v>
      </c>
      <c r="L280">
        <v>22</v>
      </c>
      <c r="M280">
        <v>153</v>
      </c>
      <c r="N280">
        <v>137</v>
      </c>
      <c r="O280">
        <v>89.5</v>
      </c>
      <c r="P280">
        <v>92.5</v>
      </c>
      <c r="Q280">
        <v>82.5</v>
      </c>
      <c r="R280">
        <v>4.5999999999999996</v>
      </c>
      <c r="S280">
        <v>8.6</v>
      </c>
      <c r="T280" t="s">
        <v>31</v>
      </c>
      <c r="U280">
        <v>6</v>
      </c>
      <c r="V280">
        <v>1</v>
      </c>
    </row>
    <row r="281" spans="1:22" x14ac:dyDescent="0.3">
      <c r="A281" t="s">
        <v>500</v>
      </c>
      <c r="B281" t="s">
        <v>86</v>
      </c>
      <c r="C281" t="s">
        <v>40</v>
      </c>
      <c r="D281" t="s">
        <v>49</v>
      </c>
      <c r="E281" t="s">
        <v>71</v>
      </c>
      <c r="F281" t="s">
        <v>72</v>
      </c>
      <c r="G281" t="s">
        <v>43</v>
      </c>
      <c r="H281" t="s">
        <v>29</v>
      </c>
      <c r="I281" t="s">
        <v>51</v>
      </c>
      <c r="J281">
        <v>95</v>
      </c>
      <c r="K281">
        <v>1</v>
      </c>
      <c r="L281">
        <v>17</v>
      </c>
      <c r="M281">
        <v>142</v>
      </c>
      <c r="N281">
        <v>140</v>
      </c>
      <c r="O281">
        <v>98.6</v>
      </c>
      <c r="P281">
        <v>94.6</v>
      </c>
      <c r="Q281">
        <v>95.6</v>
      </c>
      <c r="R281">
        <v>4.7</v>
      </c>
      <c r="S281">
        <v>7.6</v>
      </c>
      <c r="T281" t="s">
        <v>46</v>
      </c>
      <c r="U281">
        <v>2</v>
      </c>
      <c r="V281">
        <v>2</v>
      </c>
    </row>
    <row r="282" spans="1:22" x14ac:dyDescent="0.3">
      <c r="A282" t="s">
        <v>501</v>
      </c>
      <c r="B282" t="s">
        <v>502</v>
      </c>
      <c r="C282" t="s">
        <v>24</v>
      </c>
      <c r="D282" t="s">
        <v>49</v>
      </c>
      <c r="E282" t="s">
        <v>71</v>
      </c>
      <c r="F282" t="s">
        <v>72</v>
      </c>
      <c r="G282" t="s">
        <v>36</v>
      </c>
      <c r="H282" t="s">
        <v>29</v>
      </c>
      <c r="I282" t="s">
        <v>73</v>
      </c>
      <c r="J282">
        <v>95</v>
      </c>
      <c r="K282">
        <v>1</v>
      </c>
      <c r="L282">
        <v>10</v>
      </c>
      <c r="M282">
        <v>156</v>
      </c>
      <c r="N282">
        <v>136</v>
      </c>
      <c r="O282">
        <v>87.2</v>
      </c>
      <c r="P282">
        <v>90.2</v>
      </c>
      <c r="Q282">
        <v>83.2</v>
      </c>
      <c r="R282">
        <v>4.3</v>
      </c>
      <c r="S282">
        <v>7.9</v>
      </c>
      <c r="T282" t="s">
        <v>31</v>
      </c>
      <c r="U282">
        <v>7</v>
      </c>
      <c r="V282">
        <v>12</v>
      </c>
    </row>
    <row r="283" spans="1:22" x14ac:dyDescent="0.3">
      <c r="A283" t="s">
        <v>503</v>
      </c>
      <c r="B283" t="s">
        <v>504</v>
      </c>
      <c r="C283" t="s">
        <v>24</v>
      </c>
      <c r="D283" t="s">
        <v>25</v>
      </c>
      <c r="E283" t="s">
        <v>50</v>
      </c>
      <c r="F283" t="s">
        <v>27</v>
      </c>
      <c r="G283" t="s">
        <v>36</v>
      </c>
      <c r="H283" t="s">
        <v>29</v>
      </c>
      <c r="I283" t="s">
        <v>57</v>
      </c>
      <c r="J283">
        <v>87</v>
      </c>
      <c r="K283">
        <v>3</v>
      </c>
      <c r="L283">
        <v>6</v>
      </c>
      <c r="M283">
        <v>107</v>
      </c>
      <c r="N283">
        <v>95</v>
      </c>
      <c r="O283">
        <v>88.8</v>
      </c>
      <c r="P283">
        <v>92.8</v>
      </c>
      <c r="Q283">
        <v>80.8</v>
      </c>
      <c r="R283">
        <v>4.5</v>
      </c>
      <c r="S283">
        <v>8.3000000000000007</v>
      </c>
      <c r="T283" t="s">
        <v>31</v>
      </c>
      <c r="U283">
        <v>7</v>
      </c>
      <c r="V283">
        <v>6</v>
      </c>
    </row>
    <row r="284" spans="1:22" x14ac:dyDescent="0.3">
      <c r="A284" t="s">
        <v>505</v>
      </c>
      <c r="B284" t="s">
        <v>48</v>
      </c>
      <c r="C284" t="s">
        <v>24</v>
      </c>
      <c r="D284" t="s">
        <v>25</v>
      </c>
      <c r="E284" t="s">
        <v>71</v>
      </c>
      <c r="F284" t="s">
        <v>42</v>
      </c>
      <c r="G284" t="s">
        <v>55</v>
      </c>
      <c r="H284" t="s">
        <v>56</v>
      </c>
      <c r="I284" t="s">
        <v>92</v>
      </c>
      <c r="J284">
        <v>97</v>
      </c>
      <c r="K284">
        <v>0</v>
      </c>
      <c r="L284">
        <v>16</v>
      </c>
      <c r="M284">
        <v>140</v>
      </c>
      <c r="N284">
        <v>124</v>
      </c>
      <c r="O284">
        <v>88.6</v>
      </c>
      <c r="P284">
        <v>87.6</v>
      </c>
      <c r="Q284">
        <v>88.6</v>
      </c>
      <c r="R284">
        <v>4.0999999999999996</v>
      </c>
      <c r="S284">
        <v>7.9</v>
      </c>
      <c r="T284" t="s">
        <v>31</v>
      </c>
      <c r="U284">
        <v>4</v>
      </c>
      <c r="V284">
        <v>4</v>
      </c>
    </row>
    <row r="285" spans="1:22" x14ac:dyDescent="0.3">
      <c r="A285" t="s">
        <v>506</v>
      </c>
      <c r="B285" t="s">
        <v>507</v>
      </c>
      <c r="C285" t="s">
        <v>24</v>
      </c>
      <c r="D285" t="s">
        <v>25</v>
      </c>
      <c r="E285" t="s">
        <v>67</v>
      </c>
      <c r="F285" t="s">
        <v>91</v>
      </c>
      <c r="G285" t="s">
        <v>36</v>
      </c>
      <c r="H285" t="s">
        <v>44</v>
      </c>
      <c r="I285" t="s">
        <v>45</v>
      </c>
      <c r="J285">
        <v>90</v>
      </c>
      <c r="K285">
        <v>2</v>
      </c>
      <c r="L285">
        <v>7</v>
      </c>
      <c r="M285">
        <v>179</v>
      </c>
      <c r="N285">
        <v>155</v>
      </c>
      <c r="O285">
        <v>86.6</v>
      </c>
      <c r="P285">
        <v>83.6</v>
      </c>
      <c r="Q285">
        <v>89.6</v>
      </c>
      <c r="R285">
        <v>3.9</v>
      </c>
      <c r="S285">
        <v>8.8000000000000007</v>
      </c>
      <c r="T285" t="s">
        <v>31</v>
      </c>
      <c r="U285">
        <v>7</v>
      </c>
      <c r="V285">
        <v>5</v>
      </c>
    </row>
    <row r="286" spans="1:22" x14ac:dyDescent="0.3">
      <c r="A286" t="s">
        <v>508</v>
      </c>
      <c r="B286" t="s">
        <v>387</v>
      </c>
      <c r="C286" t="s">
        <v>40</v>
      </c>
      <c r="D286" t="s">
        <v>49</v>
      </c>
      <c r="E286" t="s">
        <v>34</v>
      </c>
      <c r="F286" t="s">
        <v>42</v>
      </c>
      <c r="G286" t="s">
        <v>36</v>
      </c>
      <c r="H286" t="s">
        <v>44</v>
      </c>
      <c r="I286" t="s">
        <v>60</v>
      </c>
      <c r="J286">
        <v>84</v>
      </c>
      <c r="K286">
        <v>4</v>
      </c>
      <c r="L286">
        <v>5</v>
      </c>
      <c r="M286">
        <v>176</v>
      </c>
      <c r="N286">
        <v>145</v>
      </c>
      <c r="O286">
        <v>82.4</v>
      </c>
      <c r="P286">
        <v>78.400000000000006</v>
      </c>
      <c r="Q286">
        <v>80.400000000000006</v>
      </c>
      <c r="R286">
        <v>3.4</v>
      </c>
      <c r="S286">
        <v>8.6999999999999993</v>
      </c>
      <c r="T286" t="s">
        <v>31</v>
      </c>
      <c r="U286">
        <v>6</v>
      </c>
      <c r="V286">
        <v>2</v>
      </c>
    </row>
    <row r="287" spans="1:22" x14ac:dyDescent="0.3">
      <c r="A287" t="s">
        <v>509</v>
      </c>
      <c r="B287" t="s">
        <v>510</v>
      </c>
      <c r="C287" t="s">
        <v>40</v>
      </c>
      <c r="D287" t="s">
        <v>25</v>
      </c>
      <c r="E287" t="s">
        <v>50</v>
      </c>
      <c r="F287" t="s">
        <v>27</v>
      </c>
      <c r="G287" t="s">
        <v>36</v>
      </c>
      <c r="H287" t="s">
        <v>29</v>
      </c>
      <c r="I287" t="s">
        <v>92</v>
      </c>
      <c r="J287">
        <v>89</v>
      </c>
      <c r="K287">
        <v>2</v>
      </c>
      <c r="L287">
        <v>7</v>
      </c>
      <c r="M287">
        <v>171</v>
      </c>
      <c r="N287">
        <v>162</v>
      </c>
      <c r="O287">
        <v>94.7</v>
      </c>
      <c r="P287">
        <v>96.7</v>
      </c>
      <c r="Q287">
        <v>94.7</v>
      </c>
      <c r="R287">
        <v>4.9000000000000004</v>
      </c>
      <c r="S287">
        <v>7.8</v>
      </c>
      <c r="T287" t="s">
        <v>46</v>
      </c>
      <c r="U287">
        <v>2</v>
      </c>
      <c r="V287">
        <v>4</v>
      </c>
    </row>
    <row r="288" spans="1:22" x14ac:dyDescent="0.3">
      <c r="A288" t="s">
        <v>511</v>
      </c>
      <c r="B288" t="s">
        <v>178</v>
      </c>
      <c r="C288" t="s">
        <v>40</v>
      </c>
      <c r="D288" t="s">
        <v>25</v>
      </c>
      <c r="E288" t="s">
        <v>67</v>
      </c>
      <c r="F288" t="s">
        <v>42</v>
      </c>
      <c r="G288" t="s">
        <v>43</v>
      </c>
      <c r="H288" t="s">
        <v>56</v>
      </c>
      <c r="I288" t="s">
        <v>60</v>
      </c>
      <c r="J288">
        <v>98</v>
      </c>
      <c r="K288">
        <v>0</v>
      </c>
      <c r="L288">
        <v>6</v>
      </c>
      <c r="M288">
        <v>160</v>
      </c>
      <c r="N288">
        <v>144</v>
      </c>
      <c r="O288">
        <v>90</v>
      </c>
      <c r="P288">
        <v>92</v>
      </c>
      <c r="Q288">
        <v>95</v>
      </c>
      <c r="R288">
        <v>4.5999999999999996</v>
      </c>
      <c r="S288">
        <v>8.6999999999999993</v>
      </c>
      <c r="T288" t="s">
        <v>46</v>
      </c>
      <c r="U288">
        <v>1</v>
      </c>
      <c r="V288">
        <v>4</v>
      </c>
    </row>
    <row r="289" spans="1:22" x14ac:dyDescent="0.3">
      <c r="A289" t="s">
        <v>512</v>
      </c>
      <c r="B289" t="s">
        <v>513</v>
      </c>
      <c r="C289" t="s">
        <v>40</v>
      </c>
      <c r="D289" t="s">
        <v>25</v>
      </c>
      <c r="E289" t="s">
        <v>50</v>
      </c>
      <c r="F289" t="s">
        <v>91</v>
      </c>
      <c r="G289" t="s">
        <v>63</v>
      </c>
      <c r="H289" t="s">
        <v>44</v>
      </c>
      <c r="I289" t="s">
        <v>45</v>
      </c>
      <c r="J289">
        <v>82</v>
      </c>
      <c r="K289">
        <v>4</v>
      </c>
      <c r="L289">
        <v>5</v>
      </c>
      <c r="M289">
        <v>132</v>
      </c>
      <c r="N289">
        <v>123</v>
      </c>
      <c r="O289">
        <v>93.2</v>
      </c>
      <c r="P289">
        <v>92.2</v>
      </c>
      <c r="Q289">
        <v>98.2</v>
      </c>
      <c r="R289">
        <v>4.5999999999999996</v>
      </c>
      <c r="S289">
        <v>7.5</v>
      </c>
      <c r="T289" t="s">
        <v>46</v>
      </c>
      <c r="U289">
        <v>2</v>
      </c>
      <c r="V289">
        <v>10</v>
      </c>
    </row>
    <row r="290" spans="1:22" x14ac:dyDescent="0.3">
      <c r="A290" t="s">
        <v>514</v>
      </c>
      <c r="B290" t="s">
        <v>134</v>
      </c>
      <c r="C290" t="s">
        <v>24</v>
      </c>
      <c r="D290" t="s">
        <v>25</v>
      </c>
      <c r="E290" t="s">
        <v>34</v>
      </c>
      <c r="F290" t="s">
        <v>42</v>
      </c>
      <c r="G290" t="s">
        <v>55</v>
      </c>
      <c r="H290" t="s">
        <v>56</v>
      </c>
      <c r="I290" t="s">
        <v>68</v>
      </c>
      <c r="J290">
        <v>99</v>
      </c>
      <c r="K290">
        <v>0</v>
      </c>
      <c r="L290">
        <v>16</v>
      </c>
      <c r="M290">
        <v>166</v>
      </c>
      <c r="N290">
        <v>166</v>
      </c>
      <c r="O290">
        <v>100</v>
      </c>
      <c r="P290">
        <v>100</v>
      </c>
      <c r="Q290">
        <v>99</v>
      </c>
      <c r="R290">
        <v>5</v>
      </c>
      <c r="S290">
        <v>7.6</v>
      </c>
      <c r="T290" t="s">
        <v>46</v>
      </c>
      <c r="U290">
        <v>1</v>
      </c>
      <c r="V290">
        <v>8</v>
      </c>
    </row>
    <row r="291" spans="1:22" x14ac:dyDescent="0.3">
      <c r="A291" t="s">
        <v>515</v>
      </c>
      <c r="B291" t="s">
        <v>439</v>
      </c>
      <c r="C291" t="s">
        <v>40</v>
      </c>
      <c r="D291" t="s">
        <v>25</v>
      </c>
      <c r="E291" t="s">
        <v>67</v>
      </c>
      <c r="F291" t="s">
        <v>42</v>
      </c>
      <c r="G291" t="s">
        <v>36</v>
      </c>
      <c r="H291" t="s">
        <v>44</v>
      </c>
      <c r="I291" t="s">
        <v>79</v>
      </c>
      <c r="J291">
        <v>91</v>
      </c>
      <c r="K291">
        <v>2</v>
      </c>
      <c r="L291">
        <v>24</v>
      </c>
      <c r="M291">
        <v>125</v>
      </c>
      <c r="N291">
        <v>125</v>
      </c>
      <c r="O291">
        <v>100</v>
      </c>
      <c r="P291">
        <v>100</v>
      </c>
      <c r="Q291">
        <v>102</v>
      </c>
      <c r="R291">
        <v>5</v>
      </c>
      <c r="S291">
        <v>7.3</v>
      </c>
      <c r="T291" t="s">
        <v>46</v>
      </c>
      <c r="U291">
        <v>1</v>
      </c>
      <c r="V291">
        <v>5</v>
      </c>
    </row>
    <row r="292" spans="1:22" x14ac:dyDescent="0.3">
      <c r="A292" t="s">
        <v>516</v>
      </c>
      <c r="B292" t="s">
        <v>154</v>
      </c>
      <c r="C292" t="s">
        <v>40</v>
      </c>
      <c r="D292" t="s">
        <v>25</v>
      </c>
      <c r="E292" t="s">
        <v>67</v>
      </c>
      <c r="F292" t="s">
        <v>91</v>
      </c>
      <c r="G292" t="s">
        <v>76</v>
      </c>
      <c r="H292" t="s">
        <v>44</v>
      </c>
      <c r="I292" t="s">
        <v>37</v>
      </c>
      <c r="J292">
        <v>93</v>
      </c>
      <c r="K292">
        <v>1</v>
      </c>
      <c r="L292">
        <v>9</v>
      </c>
      <c r="M292">
        <v>130</v>
      </c>
      <c r="N292">
        <v>109</v>
      </c>
      <c r="O292">
        <v>83.8</v>
      </c>
      <c r="P292">
        <v>79.8</v>
      </c>
      <c r="Q292">
        <v>87.8</v>
      </c>
      <c r="R292">
        <v>3.4</v>
      </c>
      <c r="S292">
        <v>8.9</v>
      </c>
      <c r="T292" t="s">
        <v>31</v>
      </c>
      <c r="U292">
        <v>4</v>
      </c>
      <c r="V292">
        <v>6</v>
      </c>
    </row>
    <row r="293" spans="1:22" x14ac:dyDescent="0.3">
      <c r="A293" t="s">
        <v>517</v>
      </c>
      <c r="B293" t="s">
        <v>158</v>
      </c>
      <c r="C293" t="s">
        <v>24</v>
      </c>
      <c r="D293" t="s">
        <v>49</v>
      </c>
      <c r="E293" t="s">
        <v>26</v>
      </c>
      <c r="F293" t="s">
        <v>42</v>
      </c>
      <c r="G293" t="s">
        <v>76</v>
      </c>
      <c r="H293" t="s">
        <v>29</v>
      </c>
      <c r="I293" t="s">
        <v>68</v>
      </c>
      <c r="J293">
        <v>91</v>
      </c>
      <c r="K293">
        <v>2</v>
      </c>
      <c r="L293">
        <v>6</v>
      </c>
      <c r="M293">
        <v>113</v>
      </c>
      <c r="N293">
        <v>104</v>
      </c>
      <c r="O293">
        <v>92</v>
      </c>
      <c r="P293">
        <v>95</v>
      </c>
      <c r="Q293">
        <v>85</v>
      </c>
      <c r="R293">
        <v>4.8</v>
      </c>
      <c r="S293">
        <v>8.1999999999999993</v>
      </c>
      <c r="T293" t="s">
        <v>46</v>
      </c>
      <c r="U293">
        <v>1</v>
      </c>
      <c r="V293">
        <v>0</v>
      </c>
    </row>
    <row r="294" spans="1:22" x14ac:dyDescent="0.3">
      <c r="A294" t="s">
        <v>518</v>
      </c>
      <c r="B294" t="s">
        <v>228</v>
      </c>
      <c r="C294" t="s">
        <v>40</v>
      </c>
      <c r="D294" t="s">
        <v>49</v>
      </c>
      <c r="E294" t="s">
        <v>26</v>
      </c>
      <c r="F294" t="s">
        <v>35</v>
      </c>
      <c r="G294" t="s">
        <v>28</v>
      </c>
      <c r="H294" t="s">
        <v>44</v>
      </c>
      <c r="I294" t="s">
        <v>68</v>
      </c>
      <c r="J294">
        <v>83</v>
      </c>
      <c r="K294">
        <v>4</v>
      </c>
      <c r="L294">
        <v>12</v>
      </c>
      <c r="M294">
        <v>133</v>
      </c>
      <c r="N294">
        <v>114</v>
      </c>
      <c r="O294">
        <v>85.7</v>
      </c>
      <c r="P294">
        <v>83.7</v>
      </c>
      <c r="Q294">
        <v>77.7</v>
      </c>
      <c r="R294">
        <v>3.9</v>
      </c>
      <c r="S294">
        <v>8.6999999999999993</v>
      </c>
      <c r="T294" t="s">
        <v>31</v>
      </c>
      <c r="U294">
        <v>4</v>
      </c>
      <c r="V294">
        <v>6</v>
      </c>
    </row>
    <row r="295" spans="1:22" x14ac:dyDescent="0.3">
      <c r="A295" t="s">
        <v>519</v>
      </c>
      <c r="B295" t="s">
        <v>321</v>
      </c>
      <c r="C295" t="s">
        <v>40</v>
      </c>
      <c r="D295" t="s">
        <v>25</v>
      </c>
      <c r="E295" t="s">
        <v>26</v>
      </c>
      <c r="F295" t="s">
        <v>42</v>
      </c>
      <c r="G295" t="s">
        <v>28</v>
      </c>
      <c r="H295" t="s">
        <v>44</v>
      </c>
      <c r="I295" t="s">
        <v>37</v>
      </c>
      <c r="J295">
        <v>92</v>
      </c>
      <c r="K295">
        <v>2</v>
      </c>
      <c r="L295">
        <v>9</v>
      </c>
      <c r="M295">
        <v>163</v>
      </c>
      <c r="N295">
        <v>145</v>
      </c>
      <c r="O295">
        <v>89</v>
      </c>
      <c r="P295">
        <v>86</v>
      </c>
      <c r="Q295">
        <v>84</v>
      </c>
      <c r="R295">
        <v>4</v>
      </c>
      <c r="S295">
        <v>7.8</v>
      </c>
      <c r="T295" t="s">
        <v>31</v>
      </c>
      <c r="U295">
        <v>7</v>
      </c>
      <c r="V295">
        <v>10</v>
      </c>
    </row>
    <row r="296" spans="1:22" x14ac:dyDescent="0.3">
      <c r="A296" t="s">
        <v>520</v>
      </c>
      <c r="B296" t="s">
        <v>364</v>
      </c>
      <c r="C296" t="s">
        <v>40</v>
      </c>
      <c r="D296" t="s">
        <v>25</v>
      </c>
      <c r="E296" t="s">
        <v>71</v>
      </c>
      <c r="F296" t="s">
        <v>42</v>
      </c>
      <c r="G296" t="s">
        <v>36</v>
      </c>
      <c r="H296" t="s">
        <v>29</v>
      </c>
      <c r="I296" t="s">
        <v>73</v>
      </c>
      <c r="J296">
        <v>88</v>
      </c>
      <c r="K296">
        <v>3</v>
      </c>
      <c r="L296">
        <v>16</v>
      </c>
      <c r="M296">
        <v>105</v>
      </c>
      <c r="N296">
        <v>94</v>
      </c>
      <c r="O296">
        <v>89.5</v>
      </c>
      <c r="P296">
        <v>87.5</v>
      </c>
      <c r="Q296">
        <v>97.5</v>
      </c>
      <c r="R296">
        <v>4.0999999999999996</v>
      </c>
      <c r="S296">
        <v>8.1</v>
      </c>
      <c r="T296" t="s">
        <v>31</v>
      </c>
      <c r="U296">
        <v>4</v>
      </c>
      <c r="V296">
        <v>5</v>
      </c>
    </row>
    <row r="297" spans="1:22" x14ac:dyDescent="0.3">
      <c r="A297" t="s">
        <v>521</v>
      </c>
      <c r="B297" t="s">
        <v>293</v>
      </c>
      <c r="C297" t="s">
        <v>40</v>
      </c>
      <c r="D297" t="s">
        <v>25</v>
      </c>
      <c r="E297" t="s">
        <v>67</v>
      </c>
      <c r="F297" t="s">
        <v>91</v>
      </c>
      <c r="G297" t="s">
        <v>36</v>
      </c>
      <c r="H297" t="s">
        <v>56</v>
      </c>
      <c r="I297" t="s">
        <v>79</v>
      </c>
      <c r="J297">
        <v>88</v>
      </c>
      <c r="K297">
        <v>3</v>
      </c>
      <c r="L297">
        <v>12</v>
      </c>
      <c r="M297">
        <v>104</v>
      </c>
      <c r="N297">
        <v>96</v>
      </c>
      <c r="O297">
        <v>92.3</v>
      </c>
      <c r="P297">
        <v>90.3</v>
      </c>
      <c r="Q297">
        <v>87.3</v>
      </c>
      <c r="R297">
        <v>4.3</v>
      </c>
      <c r="S297">
        <v>8.3000000000000007</v>
      </c>
      <c r="T297" t="s">
        <v>46</v>
      </c>
      <c r="U297">
        <v>0</v>
      </c>
      <c r="V297">
        <v>7</v>
      </c>
    </row>
    <row r="298" spans="1:22" x14ac:dyDescent="0.3">
      <c r="A298" t="s">
        <v>522</v>
      </c>
      <c r="B298" t="s">
        <v>420</v>
      </c>
      <c r="C298" t="s">
        <v>40</v>
      </c>
      <c r="D298" t="s">
        <v>49</v>
      </c>
      <c r="E298" t="s">
        <v>67</v>
      </c>
      <c r="F298" t="s">
        <v>42</v>
      </c>
      <c r="G298" t="s">
        <v>63</v>
      </c>
      <c r="H298" t="s">
        <v>56</v>
      </c>
      <c r="I298" t="s">
        <v>45</v>
      </c>
      <c r="J298">
        <v>98</v>
      </c>
      <c r="K298">
        <v>0</v>
      </c>
      <c r="L298">
        <v>21</v>
      </c>
      <c r="M298">
        <v>168</v>
      </c>
      <c r="N298">
        <v>158</v>
      </c>
      <c r="O298">
        <v>94</v>
      </c>
      <c r="P298">
        <v>95</v>
      </c>
      <c r="Q298">
        <v>102</v>
      </c>
      <c r="R298">
        <v>4.8</v>
      </c>
      <c r="S298">
        <v>7.4</v>
      </c>
      <c r="T298" t="s">
        <v>46</v>
      </c>
      <c r="U298">
        <v>0</v>
      </c>
      <c r="V298">
        <v>10</v>
      </c>
    </row>
    <row r="299" spans="1:22" x14ac:dyDescent="0.3">
      <c r="A299" t="s">
        <v>523</v>
      </c>
      <c r="B299" t="s">
        <v>88</v>
      </c>
      <c r="C299" t="s">
        <v>24</v>
      </c>
      <c r="D299" t="s">
        <v>25</v>
      </c>
      <c r="E299" t="s">
        <v>26</v>
      </c>
      <c r="F299" t="s">
        <v>27</v>
      </c>
      <c r="G299" t="s">
        <v>76</v>
      </c>
      <c r="H299" t="s">
        <v>29</v>
      </c>
      <c r="I299" t="s">
        <v>51</v>
      </c>
      <c r="J299">
        <v>93</v>
      </c>
      <c r="K299">
        <v>1</v>
      </c>
      <c r="L299">
        <v>4</v>
      </c>
      <c r="M299">
        <v>131</v>
      </c>
      <c r="N299">
        <v>116</v>
      </c>
      <c r="O299">
        <v>88.5</v>
      </c>
      <c r="P299">
        <v>91.5</v>
      </c>
      <c r="Q299">
        <v>81.5</v>
      </c>
      <c r="R299">
        <v>4.5</v>
      </c>
      <c r="S299">
        <v>8.8000000000000007</v>
      </c>
      <c r="T299" t="s">
        <v>31</v>
      </c>
      <c r="U299">
        <v>4</v>
      </c>
      <c r="V299">
        <v>0</v>
      </c>
    </row>
    <row r="300" spans="1:22" x14ac:dyDescent="0.3">
      <c r="A300" t="s">
        <v>524</v>
      </c>
      <c r="B300" t="s">
        <v>368</v>
      </c>
      <c r="C300" t="s">
        <v>40</v>
      </c>
      <c r="D300" t="s">
        <v>25</v>
      </c>
      <c r="E300" t="s">
        <v>26</v>
      </c>
      <c r="F300" t="s">
        <v>54</v>
      </c>
      <c r="G300" t="s">
        <v>63</v>
      </c>
      <c r="H300" t="s">
        <v>56</v>
      </c>
      <c r="I300" t="s">
        <v>82</v>
      </c>
      <c r="J300">
        <v>97</v>
      </c>
      <c r="K300">
        <v>0</v>
      </c>
      <c r="L300">
        <v>14</v>
      </c>
      <c r="M300">
        <v>180</v>
      </c>
      <c r="N300">
        <v>173</v>
      </c>
      <c r="O300">
        <v>96.1</v>
      </c>
      <c r="P300">
        <v>96.1</v>
      </c>
      <c r="Q300">
        <v>90.1</v>
      </c>
      <c r="R300">
        <v>4.9000000000000004</v>
      </c>
      <c r="S300">
        <v>7.4</v>
      </c>
      <c r="T300" t="s">
        <v>46</v>
      </c>
      <c r="U300">
        <v>2</v>
      </c>
      <c r="V300">
        <v>1</v>
      </c>
    </row>
    <row r="301" spans="1:22" x14ac:dyDescent="0.3">
      <c r="A301" t="s">
        <v>525</v>
      </c>
      <c r="B301" t="s">
        <v>526</v>
      </c>
      <c r="C301" t="s">
        <v>40</v>
      </c>
      <c r="D301" t="s">
        <v>49</v>
      </c>
      <c r="E301" t="s">
        <v>50</v>
      </c>
      <c r="F301" t="s">
        <v>72</v>
      </c>
      <c r="G301" t="s">
        <v>63</v>
      </c>
      <c r="H301" t="s">
        <v>56</v>
      </c>
      <c r="I301" t="s">
        <v>57</v>
      </c>
      <c r="J301">
        <v>84</v>
      </c>
      <c r="K301">
        <v>4</v>
      </c>
      <c r="L301">
        <v>7</v>
      </c>
      <c r="M301">
        <v>125</v>
      </c>
      <c r="N301">
        <v>118</v>
      </c>
      <c r="O301">
        <v>94.4</v>
      </c>
      <c r="P301">
        <v>91.4</v>
      </c>
      <c r="Q301">
        <v>99.4</v>
      </c>
      <c r="R301">
        <v>4.3</v>
      </c>
      <c r="S301">
        <v>7.8</v>
      </c>
      <c r="T301" t="s">
        <v>46</v>
      </c>
      <c r="U301">
        <v>0</v>
      </c>
      <c r="V301">
        <v>4</v>
      </c>
    </row>
    <row r="302" spans="1:22" x14ac:dyDescent="0.3">
      <c r="A302" t="s">
        <v>527</v>
      </c>
      <c r="B302" t="s">
        <v>143</v>
      </c>
      <c r="C302" t="s">
        <v>40</v>
      </c>
      <c r="D302" t="s">
        <v>25</v>
      </c>
      <c r="E302" t="s">
        <v>34</v>
      </c>
      <c r="F302" t="s">
        <v>54</v>
      </c>
      <c r="G302" t="s">
        <v>28</v>
      </c>
      <c r="H302" t="s">
        <v>29</v>
      </c>
      <c r="I302" t="s">
        <v>30</v>
      </c>
      <c r="J302">
        <v>84</v>
      </c>
      <c r="K302">
        <v>4</v>
      </c>
      <c r="L302">
        <v>23</v>
      </c>
      <c r="M302">
        <v>152</v>
      </c>
      <c r="N302">
        <v>145</v>
      </c>
      <c r="O302">
        <v>95.4</v>
      </c>
      <c r="P302">
        <v>99.4</v>
      </c>
      <c r="Q302">
        <v>101.4</v>
      </c>
      <c r="R302">
        <v>5</v>
      </c>
      <c r="S302">
        <v>7.5</v>
      </c>
      <c r="T302" t="s">
        <v>46</v>
      </c>
      <c r="U302">
        <v>1</v>
      </c>
      <c r="V302">
        <v>7</v>
      </c>
    </row>
    <row r="303" spans="1:22" x14ac:dyDescent="0.3">
      <c r="A303" t="s">
        <v>528</v>
      </c>
      <c r="B303" t="s">
        <v>356</v>
      </c>
      <c r="C303" t="s">
        <v>24</v>
      </c>
      <c r="D303" t="s">
        <v>25</v>
      </c>
      <c r="E303" t="s">
        <v>71</v>
      </c>
      <c r="F303" t="s">
        <v>72</v>
      </c>
      <c r="G303" t="s">
        <v>36</v>
      </c>
      <c r="H303" t="s">
        <v>44</v>
      </c>
      <c r="I303" t="s">
        <v>51</v>
      </c>
      <c r="J303">
        <v>83</v>
      </c>
      <c r="K303">
        <v>4</v>
      </c>
      <c r="L303">
        <v>3</v>
      </c>
      <c r="M303">
        <v>114</v>
      </c>
      <c r="N303">
        <v>107</v>
      </c>
      <c r="O303">
        <v>93.9</v>
      </c>
      <c r="P303">
        <v>89.9</v>
      </c>
      <c r="Q303">
        <v>100.9</v>
      </c>
      <c r="R303">
        <v>4.4000000000000004</v>
      </c>
      <c r="S303">
        <v>8.1</v>
      </c>
      <c r="T303" t="s">
        <v>46</v>
      </c>
      <c r="U303">
        <v>1</v>
      </c>
      <c r="V303">
        <v>10</v>
      </c>
    </row>
    <row r="304" spans="1:22" x14ac:dyDescent="0.3">
      <c r="A304" t="s">
        <v>529</v>
      </c>
      <c r="B304" t="s">
        <v>111</v>
      </c>
      <c r="C304" t="s">
        <v>24</v>
      </c>
      <c r="D304" t="s">
        <v>25</v>
      </c>
      <c r="E304" t="s">
        <v>67</v>
      </c>
      <c r="F304" t="s">
        <v>91</v>
      </c>
      <c r="G304" t="s">
        <v>55</v>
      </c>
      <c r="H304" t="s">
        <v>44</v>
      </c>
      <c r="I304" t="s">
        <v>73</v>
      </c>
      <c r="J304">
        <v>96</v>
      </c>
      <c r="K304">
        <v>1</v>
      </c>
      <c r="L304">
        <v>17</v>
      </c>
      <c r="M304">
        <v>115</v>
      </c>
      <c r="N304">
        <v>106</v>
      </c>
      <c r="O304">
        <v>92.2</v>
      </c>
      <c r="P304">
        <v>91.2</v>
      </c>
      <c r="Q304">
        <v>90.2</v>
      </c>
      <c r="R304">
        <v>4.5</v>
      </c>
      <c r="S304">
        <v>8.3000000000000007</v>
      </c>
      <c r="T304" t="s">
        <v>46</v>
      </c>
      <c r="U304">
        <v>2</v>
      </c>
      <c r="V304">
        <v>7</v>
      </c>
    </row>
    <row r="305" spans="1:22" x14ac:dyDescent="0.3">
      <c r="A305" t="s">
        <v>530</v>
      </c>
      <c r="B305" t="s">
        <v>130</v>
      </c>
      <c r="C305" t="s">
        <v>24</v>
      </c>
      <c r="D305" t="s">
        <v>25</v>
      </c>
      <c r="E305" t="s">
        <v>71</v>
      </c>
      <c r="F305" t="s">
        <v>35</v>
      </c>
      <c r="G305" t="s">
        <v>28</v>
      </c>
      <c r="H305" t="s">
        <v>29</v>
      </c>
      <c r="I305" t="s">
        <v>60</v>
      </c>
      <c r="J305">
        <v>95</v>
      </c>
      <c r="K305">
        <v>1</v>
      </c>
      <c r="L305">
        <v>0</v>
      </c>
      <c r="M305">
        <v>174</v>
      </c>
      <c r="N305">
        <v>168</v>
      </c>
      <c r="O305">
        <v>96.6</v>
      </c>
      <c r="P305">
        <v>98.6</v>
      </c>
      <c r="Q305">
        <v>101.6</v>
      </c>
      <c r="R305">
        <v>4.9000000000000004</v>
      </c>
      <c r="S305">
        <v>7.4</v>
      </c>
      <c r="T305" t="s">
        <v>46</v>
      </c>
      <c r="U305">
        <v>2</v>
      </c>
      <c r="V305">
        <v>9</v>
      </c>
    </row>
    <row r="306" spans="1:22" x14ac:dyDescent="0.3">
      <c r="A306" t="s">
        <v>531</v>
      </c>
      <c r="B306" t="s">
        <v>158</v>
      </c>
      <c r="C306" t="s">
        <v>24</v>
      </c>
      <c r="D306" t="s">
        <v>49</v>
      </c>
      <c r="E306" t="s">
        <v>41</v>
      </c>
      <c r="F306" t="s">
        <v>54</v>
      </c>
      <c r="G306" t="s">
        <v>76</v>
      </c>
      <c r="H306" t="s">
        <v>29</v>
      </c>
      <c r="I306" t="s">
        <v>92</v>
      </c>
      <c r="J306">
        <v>91</v>
      </c>
      <c r="K306">
        <v>2</v>
      </c>
      <c r="L306">
        <v>20</v>
      </c>
      <c r="M306">
        <v>106</v>
      </c>
      <c r="N306">
        <v>103</v>
      </c>
      <c r="O306">
        <v>97.2</v>
      </c>
      <c r="P306">
        <v>93.2</v>
      </c>
      <c r="Q306">
        <v>98.2</v>
      </c>
      <c r="R306">
        <v>4.7</v>
      </c>
      <c r="S306">
        <v>7.4</v>
      </c>
      <c r="T306" t="s">
        <v>46</v>
      </c>
      <c r="U306">
        <v>1</v>
      </c>
      <c r="V306">
        <v>12</v>
      </c>
    </row>
    <row r="307" spans="1:22" x14ac:dyDescent="0.3">
      <c r="A307" t="s">
        <v>532</v>
      </c>
      <c r="B307" t="s">
        <v>335</v>
      </c>
      <c r="C307" t="s">
        <v>40</v>
      </c>
      <c r="D307" t="s">
        <v>25</v>
      </c>
      <c r="E307" t="s">
        <v>34</v>
      </c>
      <c r="F307" t="s">
        <v>54</v>
      </c>
      <c r="G307" t="s">
        <v>36</v>
      </c>
      <c r="H307" t="s">
        <v>29</v>
      </c>
      <c r="I307" t="s">
        <v>64</v>
      </c>
      <c r="J307">
        <v>88</v>
      </c>
      <c r="K307">
        <v>3</v>
      </c>
      <c r="L307">
        <v>9</v>
      </c>
      <c r="M307">
        <v>156</v>
      </c>
      <c r="N307">
        <v>147</v>
      </c>
      <c r="O307">
        <v>94.2</v>
      </c>
      <c r="P307">
        <v>96.2</v>
      </c>
      <c r="Q307">
        <v>86.2</v>
      </c>
      <c r="R307">
        <v>4.7</v>
      </c>
      <c r="S307">
        <v>7.7</v>
      </c>
      <c r="T307" t="s">
        <v>46</v>
      </c>
      <c r="U307">
        <v>2</v>
      </c>
      <c r="V307">
        <v>2</v>
      </c>
    </row>
    <row r="308" spans="1:22" x14ac:dyDescent="0.3">
      <c r="A308" t="s">
        <v>533</v>
      </c>
      <c r="B308" t="s">
        <v>340</v>
      </c>
      <c r="C308" t="s">
        <v>24</v>
      </c>
      <c r="D308" t="s">
        <v>49</v>
      </c>
      <c r="E308" t="s">
        <v>26</v>
      </c>
      <c r="F308" t="s">
        <v>72</v>
      </c>
      <c r="G308" t="s">
        <v>55</v>
      </c>
      <c r="H308" t="s">
        <v>56</v>
      </c>
      <c r="I308" t="s">
        <v>60</v>
      </c>
      <c r="J308">
        <v>82</v>
      </c>
      <c r="K308">
        <v>4</v>
      </c>
      <c r="L308">
        <v>3</v>
      </c>
      <c r="M308">
        <v>154</v>
      </c>
      <c r="N308">
        <v>132</v>
      </c>
      <c r="O308">
        <v>85.7</v>
      </c>
      <c r="P308">
        <v>82.7</v>
      </c>
      <c r="Q308">
        <v>86.7</v>
      </c>
      <c r="R308">
        <v>3.7</v>
      </c>
      <c r="S308">
        <v>8.4</v>
      </c>
      <c r="T308" t="s">
        <v>31</v>
      </c>
      <c r="U308">
        <v>7</v>
      </c>
      <c r="V308">
        <v>11</v>
      </c>
    </row>
    <row r="309" spans="1:22" x14ac:dyDescent="0.3">
      <c r="A309" t="s">
        <v>534</v>
      </c>
      <c r="B309" t="s">
        <v>237</v>
      </c>
      <c r="C309" t="s">
        <v>24</v>
      </c>
      <c r="D309" t="s">
        <v>49</v>
      </c>
      <c r="E309" t="s">
        <v>67</v>
      </c>
      <c r="F309" t="s">
        <v>42</v>
      </c>
      <c r="G309" t="s">
        <v>28</v>
      </c>
      <c r="H309" t="s">
        <v>56</v>
      </c>
      <c r="I309" t="s">
        <v>37</v>
      </c>
      <c r="J309">
        <v>99</v>
      </c>
      <c r="K309">
        <v>0</v>
      </c>
      <c r="L309">
        <v>19</v>
      </c>
      <c r="M309">
        <v>142</v>
      </c>
      <c r="N309">
        <v>137</v>
      </c>
      <c r="O309">
        <v>96.5</v>
      </c>
      <c r="P309">
        <v>95.5</v>
      </c>
      <c r="Q309">
        <v>99.5</v>
      </c>
      <c r="R309">
        <v>4.7</v>
      </c>
      <c r="S309">
        <v>7.7</v>
      </c>
      <c r="T309" t="s">
        <v>46</v>
      </c>
      <c r="U309">
        <v>2</v>
      </c>
      <c r="V309">
        <v>8</v>
      </c>
    </row>
    <row r="310" spans="1:22" x14ac:dyDescent="0.3">
      <c r="A310" t="s">
        <v>535</v>
      </c>
      <c r="B310" t="s">
        <v>23</v>
      </c>
      <c r="C310" t="s">
        <v>24</v>
      </c>
      <c r="D310" t="s">
        <v>49</v>
      </c>
      <c r="E310" t="s">
        <v>34</v>
      </c>
      <c r="F310" t="s">
        <v>54</v>
      </c>
      <c r="G310" t="s">
        <v>28</v>
      </c>
      <c r="H310" t="s">
        <v>56</v>
      </c>
      <c r="I310" t="s">
        <v>45</v>
      </c>
      <c r="J310">
        <v>85</v>
      </c>
      <c r="K310">
        <v>3</v>
      </c>
      <c r="L310">
        <v>17</v>
      </c>
      <c r="M310">
        <v>91</v>
      </c>
      <c r="N310">
        <v>76</v>
      </c>
      <c r="O310">
        <v>83.5</v>
      </c>
      <c r="P310">
        <v>86.5</v>
      </c>
      <c r="Q310">
        <v>80.5</v>
      </c>
      <c r="R310">
        <v>4.0999999999999996</v>
      </c>
      <c r="S310">
        <v>8.8000000000000007</v>
      </c>
      <c r="T310" t="s">
        <v>31</v>
      </c>
      <c r="U310">
        <v>6</v>
      </c>
      <c r="V310">
        <v>7</v>
      </c>
    </row>
    <row r="311" spans="1:22" x14ac:dyDescent="0.3">
      <c r="A311" t="s">
        <v>536</v>
      </c>
      <c r="B311" t="s">
        <v>115</v>
      </c>
      <c r="C311" t="s">
        <v>24</v>
      </c>
      <c r="D311" t="s">
        <v>25</v>
      </c>
      <c r="E311" t="s">
        <v>34</v>
      </c>
      <c r="F311" t="s">
        <v>42</v>
      </c>
      <c r="G311" t="s">
        <v>63</v>
      </c>
      <c r="H311" t="s">
        <v>44</v>
      </c>
      <c r="I311" t="s">
        <v>68</v>
      </c>
      <c r="J311">
        <v>90</v>
      </c>
      <c r="K311">
        <v>2</v>
      </c>
      <c r="L311">
        <v>21</v>
      </c>
      <c r="M311">
        <v>177</v>
      </c>
      <c r="N311">
        <v>175</v>
      </c>
      <c r="O311">
        <v>98.9</v>
      </c>
      <c r="P311">
        <v>96.9</v>
      </c>
      <c r="Q311">
        <v>94.9</v>
      </c>
      <c r="R311">
        <v>4.9000000000000004</v>
      </c>
      <c r="S311">
        <v>7.4</v>
      </c>
      <c r="T311" t="s">
        <v>46</v>
      </c>
      <c r="U311">
        <v>2</v>
      </c>
      <c r="V311">
        <v>0</v>
      </c>
    </row>
    <row r="312" spans="1:22" x14ac:dyDescent="0.3">
      <c r="A312" t="s">
        <v>537</v>
      </c>
      <c r="B312" t="s">
        <v>90</v>
      </c>
      <c r="C312" t="s">
        <v>24</v>
      </c>
      <c r="D312" t="s">
        <v>25</v>
      </c>
      <c r="E312" t="s">
        <v>50</v>
      </c>
      <c r="F312" t="s">
        <v>54</v>
      </c>
      <c r="G312" t="s">
        <v>55</v>
      </c>
      <c r="H312" t="s">
        <v>29</v>
      </c>
      <c r="I312" t="s">
        <v>51</v>
      </c>
      <c r="J312">
        <v>91</v>
      </c>
      <c r="K312">
        <v>2</v>
      </c>
      <c r="L312">
        <v>22</v>
      </c>
      <c r="M312">
        <v>133</v>
      </c>
      <c r="N312">
        <v>124</v>
      </c>
      <c r="O312">
        <v>93.2</v>
      </c>
      <c r="P312">
        <v>89.2</v>
      </c>
      <c r="Q312">
        <v>98.2</v>
      </c>
      <c r="R312">
        <v>4.2</v>
      </c>
      <c r="S312">
        <v>7.4</v>
      </c>
      <c r="T312" t="s">
        <v>46</v>
      </c>
      <c r="U312">
        <v>1</v>
      </c>
      <c r="V312">
        <v>2</v>
      </c>
    </row>
    <row r="313" spans="1:22" x14ac:dyDescent="0.3">
      <c r="A313" t="s">
        <v>538</v>
      </c>
      <c r="B313" t="s">
        <v>389</v>
      </c>
      <c r="C313" t="s">
        <v>24</v>
      </c>
      <c r="D313" t="s">
        <v>25</v>
      </c>
      <c r="E313" t="s">
        <v>71</v>
      </c>
      <c r="F313" t="s">
        <v>35</v>
      </c>
      <c r="G313" t="s">
        <v>43</v>
      </c>
      <c r="H313" t="s">
        <v>29</v>
      </c>
      <c r="I313" t="s">
        <v>51</v>
      </c>
      <c r="J313">
        <v>95</v>
      </c>
      <c r="K313">
        <v>1</v>
      </c>
      <c r="L313">
        <v>16</v>
      </c>
      <c r="M313">
        <v>128</v>
      </c>
      <c r="N313">
        <v>127</v>
      </c>
      <c r="O313">
        <v>99.2</v>
      </c>
      <c r="P313">
        <v>97.2</v>
      </c>
      <c r="Q313">
        <v>107.2</v>
      </c>
      <c r="R313">
        <v>5</v>
      </c>
      <c r="S313">
        <v>7.1</v>
      </c>
      <c r="T313" t="s">
        <v>46</v>
      </c>
      <c r="U313">
        <v>2</v>
      </c>
      <c r="V313">
        <v>1</v>
      </c>
    </row>
    <row r="314" spans="1:22" x14ac:dyDescent="0.3">
      <c r="A314" t="s">
        <v>539</v>
      </c>
      <c r="B314" t="s">
        <v>166</v>
      </c>
      <c r="C314" t="s">
        <v>24</v>
      </c>
      <c r="D314" t="s">
        <v>25</v>
      </c>
      <c r="E314" t="s">
        <v>26</v>
      </c>
      <c r="F314" t="s">
        <v>27</v>
      </c>
      <c r="G314" t="s">
        <v>28</v>
      </c>
      <c r="H314" t="s">
        <v>56</v>
      </c>
      <c r="I314" t="s">
        <v>51</v>
      </c>
      <c r="J314">
        <v>95</v>
      </c>
      <c r="K314">
        <v>1</v>
      </c>
      <c r="L314">
        <v>7</v>
      </c>
      <c r="M314">
        <v>170</v>
      </c>
      <c r="N314">
        <v>160</v>
      </c>
      <c r="O314">
        <v>94.1</v>
      </c>
      <c r="P314">
        <v>98.1</v>
      </c>
      <c r="Q314">
        <v>93.1</v>
      </c>
      <c r="R314">
        <v>5</v>
      </c>
      <c r="S314">
        <v>7.5</v>
      </c>
      <c r="T314" t="s">
        <v>46</v>
      </c>
      <c r="U314">
        <v>0</v>
      </c>
      <c r="V314">
        <v>12</v>
      </c>
    </row>
    <row r="315" spans="1:22" x14ac:dyDescent="0.3">
      <c r="A315" t="s">
        <v>540</v>
      </c>
      <c r="B315" t="s">
        <v>169</v>
      </c>
      <c r="C315" t="s">
        <v>24</v>
      </c>
      <c r="D315" t="s">
        <v>49</v>
      </c>
      <c r="E315" t="s">
        <v>26</v>
      </c>
      <c r="F315" t="s">
        <v>72</v>
      </c>
      <c r="G315" t="s">
        <v>76</v>
      </c>
      <c r="H315" t="s">
        <v>56</v>
      </c>
      <c r="I315" t="s">
        <v>79</v>
      </c>
      <c r="J315">
        <v>94</v>
      </c>
      <c r="K315">
        <v>1</v>
      </c>
      <c r="L315">
        <v>9</v>
      </c>
      <c r="M315">
        <v>129</v>
      </c>
      <c r="N315">
        <v>111</v>
      </c>
      <c r="O315">
        <v>86</v>
      </c>
      <c r="P315">
        <v>90</v>
      </c>
      <c r="Q315">
        <v>85</v>
      </c>
      <c r="R315">
        <v>4.3</v>
      </c>
      <c r="S315">
        <v>8.1999999999999993</v>
      </c>
      <c r="T315" t="s">
        <v>31</v>
      </c>
      <c r="U315">
        <v>3</v>
      </c>
      <c r="V315">
        <v>0</v>
      </c>
    </row>
    <row r="316" spans="1:22" x14ac:dyDescent="0.3">
      <c r="A316" t="s">
        <v>541</v>
      </c>
      <c r="B316" t="s">
        <v>457</v>
      </c>
      <c r="C316" t="s">
        <v>40</v>
      </c>
      <c r="D316" t="s">
        <v>49</v>
      </c>
      <c r="E316" t="s">
        <v>71</v>
      </c>
      <c r="F316" t="s">
        <v>27</v>
      </c>
      <c r="G316" t="s">
        <v>55</v>
      </c>
      <c r="H316" t="s">
        <v>29</v>
      </c>
      <c r="I316" t="s">
        <v>37</v>
      </c>
      <c r="J316">
        <v>82</v>
      </c>
      <c r="K316">
        <v>4</v>
      </c>
      <c r="L316">
        <v>14</v>
      </c>
      <c r="M316">
        <v>101</v>
      </c>
      <c r="N316">
        <v>99</v>
      </c>
      <c r="O316">
        <v>98</v>
      </c>
      <c r="P316">
        <v>94</v>
      </c>
      <c r="Q316">
        <v>95</v>
      </c>
      <c r="R316">
        <v>4.7</v>
      </c>
      <c r="S316">
        <v>7.8</v>
      </c>
      <c r="T316" t="s">
        <v>46</v>
      </c>
      <c r="U316">
        <v>1</v>
      </c>
      <c r="V316">
        <v>7</v>
      </c>
    </row>
    <row r="317" spans="1:22" x14ac:dyDescent="0.3">
      <c r="A317" t="s">
        <v>542</v>
      </c>
      <c r="B317" t="s">
        <v>232</v>
      </c>
      <c r="C317" t="s">
        <v>40</v>
      </c>
      <c r="D317" t="s">
        <v>25</v>
      </c>
      <c r="E317" t="s">
        <v>71</v>
      </c>
      <c r="F317" t="s">
        <v>91</v>
      </c>
      <c r="G317" t="s">
        <v>43</v>
      </c>
      <c r="H317" t="s">
        <v>29</v>
      </c>
      <c r="I317" t="s">
        <v>37</v>
      </c>
      <c r="J317">
        <v>85</v>
      </c>
      <c r="K317">
        <v>3</v>
      </c>
      <c r="L317">
        <v>12</v>
      </c>
      <c r="M317">
        <v>134</v>
      </c>
      <c r="N317">
        <v>119</v>
      </c>
      <c r="O317">
        <v>88.8</v>
      </c>
      <c r="P317">
        <v>92.8</v>
      </c>
      <c r="Q317">
        <v>81.8</v>
      </c>
      <c r="R317">
        <v>4.4000000000000004</v>
      </c>
      <c r="S317">
        <v>8.6</v>
      </c>
      <c r="T317" t="s">
        <v>31</v>
      </c>
      <c r="U317">
        <v>4</v>
      </c>
      <c r="V317">
        <v>7</v>
      </c>
    </row>
    <row r="318" spans="1:22" x14ac:dyDescent="0.3">
      <c r="A318" t="s">
        <v>543</v>
      </c>
      <c r="B318" t="s">
        <v>409</v>
      </c>
      <c r="C318" t="s">
        <v>24</v>
      </c>
      <c r="D318" t="s">
        <v>49</v>
      </c>
      <c r="E318" t="s">
        <v>67</v>
      </c>
      <c r="F318" t="s">
        <v>54</v>
      </c>
      <c r="G318" t="s">
        <v>55</v>
      </c>
      <c r="H318" t="s">
        <v>56</v>
      </c>
      <c r="I318" t="s">
        <v>68</v>
      </c>
      <c r="J318">
        <v>86</v>
      </c>
      <c r="K318">
        <v>3</v>
      </c>
      <c r="L318">
        <v>17</v>
      </c>
      <c r="M318">
        <v>154</v>
      </c>
      <c r="N318">
        <v>128</v>
      </c>
      <c r="O318">
        <v>83.1</v>
      </c>
      <c r="P318">
        <v>82.1</v>
      </c>
      <c r="Q318">
        <v>88.1</v>
      </c>
      <c r="R318">
        <v>3.7</v>
      </c>
      <c r="S318">
        <v>8.3000000000000007</v>
      </c>
      <c r="T318" t="s">
        <v>31</v>
      </c>
      <c r="U318">
        <v>7</v>
      </c>
      <c r="V318">
        <v>10</v>
      </c>
    </row>
    <row r="319" spans="1:22" x14ac:dyDescent="0.3">
      <c r="A319" t="s">
        <v>544</v>
      </c>
      <c r="B319" t="s">
        <v>545</v>
      </c>
      <c r="C319" t="s">
        <v>24</v>
      </c>
      <c r="D319" t="s">
        <v>25</v>
      </c>
      <c r="E319" t="s">
        <v>50</v>
      </c>
      <c r="F319" t="s">
        <v>42</v>
      </c>
      <c r="G319" t="s">
        <v>63</v>
      </c>
      <c r="H319" t="s">
        <v>29</v>
      </c>
      <c r="I319" t="s">
        <v>51</v>
      </c>
      <c r="J319">
        <v>90</v>
      </c>
      <c r="K319">
        <v>2</v>
      </c>
      <c r="L319">
        <v>7</v>
      </c>
      <c r="M319">
        <v>144</v>
      </c>
      <c r="N319">
        <v>130</v>
      </c>
      <c r="O319">
        <v>90.3</v>
      </c>
      <c r="P319">
        <v>94.3</v>
      </c>
      <c r="Q319">
        <v>91.3</v>
      </c>
      <c r="R319">
        <v>4.5</v>
      </c>
      <c r="S319">
        <v>8.3000000000000007</v>
      </c>
      <c r="T319" t="s">
        <v>46</v>
      </c>
      <c r="U319">
        <v>2</v>
      </c>
      <c r="V319">
        <v>2</v>
      </c>
    </row>
    <row r="320" spans="1:22" x14ac:dyDescent="0.3">
      <c r="A320" t="s">
        <v>546</v>
      </c>
      <c r="B320" t="s">
        <v>545</v>
      </c>
      <c r="C320" t="s">
        <v>24</v>
      </c>
      <c r="D320" t="s">
        <v>49</v>
      </c>
      <c r="E320" t="s">
        <v>71</v>
      </c>
      <c r="F320" t="s">
        <v>91</v>
      </c>
      <c r="G320" t="s">
        <v>36</v>
      </c>
      <c r="H320" t="s">
        <v>44</v>
      </c>
      <c r="I320" t="s">
        <v>51</v>
      </c>
      <c r="J320">
        <v>100</v>
      </c>
      <c r="K320">
        <v>0</v>
      </c>
      <c r="L320">
        <v>6</v>
      </c>
      <c r="M320">
        <v>148</v>
      </c>
      <c r="N320">
        <v>137</v>
      </c>
      <c r="O320">
        <v>92.6</v>
      </c>
      <c r="P320">
        <v>94.6</v>
      </c>
      <c r="Q320">
        <v>87.6</v>
      </c>
      <c r="R320">
        <v>4.7</v>
      </c>
      <c r="S320">
        <v>8</v>
      </c>
      <c r="T320" t="s">
        <v>46</v>
      </c>
      <c r="U320">
        <v>1</v>
      </c>
      <c r="V320">
        <v>5</v>
      </c>
    </row>
    <row r="321" spans="1:22" x14ac:dyDescent="0.3">
      <c r="A321" t="s">
        <v>547</v>
      </c>
      <c r="B321" t="s">
        <v>364</v>
      </c>
      <c r="C321" t="s">
        <v>24</v>
      </c>
      <c r="D321" t="s">
        <v>25</v>
      </c>
      <c r="E321" t="s">
        <v>50</v>
      </c>
      <c r="F321" t="s">
        <v>27</v>
      </c>
      <c r="G321" t="s">
        <v>63</v>
      </c>
      <c r="H321" t="s">
        <v>56</v>
      </c>
      <c r="I321" t="s">
        <v>64</v>
      </c>
      <c r="J321">
        <v>100</v>
      </c>
      <c r="K321">
        <v>0</v>
      </c>
      <c r="L321">
        <v>1</v>
      </c>
      <c r="M321">
        <v>107</v>
      </c>
      <c r="N321">
        <v>104</v>
      </c>
      <c r="O321">
        <v>97.2</v>
      </c>
      <c r="P321">
        <v>100</v>
      </c>
      <c r="Q321">
        <v>101.2</v>
      </c>
      <c r="R321">
        <v>5</v>
      </c>
      <c r="S321">
        <v>7.4</v>
      </c>
      <c r="T321" t="s">
        <v>46</v>
      </c>
      <c r="U321">
        <v>2</v>
      </c>
      <c r="V321">
        <v>11</v>
      </c>
    </row>
    <row r="322" spans="1:22" x14ac:dyDescent="0.3">
      <c r="A322" t="s">
        <v>548</v>
      </c>
      <c r="B322" t="s">
        <v>389</v>
      </c>
      <c r="C322" t="s">
        <v>40</v>
      </c>
      <c r="D322" t="s">
        <v>49</v>
      </c>
      <c r="E322" t="s">
        <v>50</v>
      </c>
      <c r="F322" t="s">
        <v>42</v>
      </c>
      <c r="G322" t="s">
        <v>63</v>
      </c>
      <c r="H322" t="s">
        <v>29</v>
      </c>
      <c r="I322" t="s">
        <v>57</v>
      </c>
      <c r="J322">
        <v>96</v>
      </c>
      <c r="K322">
        <v>1</v>
      </c>
      <c r="L322">
        <v>0</v>
      </c>
      <c r="M322">
        <v>107</v>
      </c>
      <c r="N322">
        <v>103</v>
      </c>
      <c r="O322">
        <v>96.3</v>
      </c>
      <c r="P322">
        <v>92.3</v>
      </c>
      <c r="Q322">
        <v>101.3</v>
      </c>
      <c r="R322">
        <v>4.5999999999999996</v>
      </c>
      <c r="S322">
        <v>7.4</v>
      </c>
      <c r="T322" t="s">
        <v>46</v>
      </c>
      <c r="U322">
        <v>0</v>
      </c>
      <c r="V322">
        <v>12</v>
      </c>
    </row>
    <row r="323" spans="1:22" x14ac:dyDescent="0.3">
      <c r="A323" t="s">
        <v>549</v>
      </c>
      <c r="B323" t="s">
        <v>185</v>
      </c>
      <c r="C323" t="s">
        <v>40</v>
      </c>
      <c r="D323" t="s">
        <v>25</v>
      </c>
      <c r="E323" t="s">
        <v>50</v>
      </c>
      <c r="F323" t="s">
        <v>91</v>
      </c>
      <c r="G323" t="s">
        <v>43</v>
      </c>
      <c r="H323" t="s">
        <v>44</v>
      </c>
      <c r="I323" t="s">
        <v>57</v>
      </c>
      <c r="J323">
        <v>93</v>
      </c>
      <c r="K323">
        <v>1</v>
      </c>
      <c r="L323">
        <v>22</v>
      </c>
      <c r="M323">
        <v>123</v>
      </c>
      <c r="N323">
        <v>117</v>
      </c>
      <c r="O323">
        <v>95.1</v>
      </c>
      <c r="P323">
        <v>99.1</v>
      </c>
      <c r="Q323">
        <v>96.1</v>
      </c>
      <c r="R323">
        <v>5</v>
      </c>
      <c r="S323">
        <v>8.1</v>
      </c>
      <c r="T323" t="s">
        <v>46</v>
      </c>
      <c r="U323">
        <v>2</v>
      </c>
      <c r="V323">
        <v>3</v>
      </c>
    </row>
    <row r="324" spans="1:22" x14ac:dyDescent="0.3">
      <c r="A324" t="s">
        <v>550</v>
      </c>
      <c r="B324" t="s">
        <v>295</v>
      </c>
      <c r="C324" t="s">
        <v>40</v>
      </c>
      <c r="D324" t="s">
        <v>25</v>
      </c>
      <c r="E324" t="s">
        <v>67</v>
      </c>
      <c r="F324" t="s">
        <v>35</v>
      </c>
      <c r="G324" t="s">
        <v>28</v>
      </c>
      <c r="H324" t="s">
        <v>56</v>
      </c>
      <c r="I324" t="s">
        <v>45</v>
      </c>
      <c r="J324">
        <v>98</v>
      </c>
      <c r="K324">
        <v>0</v>
      </c>
      <c r="L324">
        <v>2</v>
      </c>
      <c r="M324">
        <v>160</v>
      </c>
      <c r="N324">
        <v>150</v>
      </c>
      <c r="O324">
        <v>93.8</v>
      </c>
      <c r="P324">
        <v>96.8</v>
      </c>
      <c r="Q324">
        <v>91.8</v>
      </c>
      <c r="R324">
        <v>4.8</v>
      </c>
      <c r="S324">
        <v>8.1999999999999993</v>
      </c>
      <c r="T324" t="s">
        <v>46</v>
      </c>
      <c r="U324">
        <v>0</v>
      </c>
      <c r="V324">
        <v>12</v>
      </c>
    </row>
    <row r="325" spans="1:22" x14ac:dyDescent="0.3">
      <c r="A325" t="s">
        <v>551</v>
      </c>
      <c r="B325" t="s">
        <v>192</v>
      </c>
      <c r="C325" t="s">
        <v>24</v>
      </c>
      <c r="D325" t="s">
        <v>49</v>
      </c>
      <c r="E325" t="s">
        <v>34</v>
      </c>
      <c r="F325" t="s">
        <v>35</v>
      </c>
      <c r="G325" t="s">
        <v>63</v>
      </c>
      <c r="H325" t="s">
        <v>29</v>
      </c>
      <c r="I325" t="s">
        <v>60</v>
      </c>
      <c r="J325">
        <v>87</v>
      </c>
      <c r="K325">
        <v>3</v>
      </c>
      <c r="L325">
        <v>9</v>
      </c>
      <c r="M325">
        <v>145</v>
      </c>
      <c r="N325">
        <v>120</v>
      </c>
      <c r="O325">
        <v>82.8</v>
      </c>
      <c r="P325">
        <v>81.8</v>
      </c>
      <c r="Q325">
        <v>82.8</v>
      </c>
      <c r="R325">
        <v>3.5</v>
      </c>
      <c r="S325">
        <v>9.1999999999999993</v>
      </c>
      <c r="T325" t="s">
        <v>31</v>
      </c>
      <c r="U325">
        <v>7</v>
      </c>
      <c r="V325">
        <v>10</v>
      </c>
    </row>
    <row r="326" spans="1:22" x14ac:dyDescent="0.3">
      <c r="A326" t="s">
        <v>552</v>
      </c>
      <c r="B326" t="s">
        <v>340</v>
      </c>
      <c r="C326" t="s">
        <v>24</v>
      </c>
      <c r="D326" t="s">
        <v>25</v>
      </c>
      <c r="E326" t="s">
        <v>71</v>
      </c>
      <c r="F326" t="s">
        <v>91</v>
      </c>
      <c r="G326" t="s">
        <v>76</v>
      </c>
      <c r="H326" t="s">
        <v>44</v>
      </c>
      <c r="I326" t="s">
        <v>92</v>
      </c>
      <c r="J326">
        <v>93</v>
      </c>
      <c r="K326">
        <v>1</v>
      </c>
      <c r="L326">
        <v>0</v>
      </c>
      <c r="M326">
        <v>94</v>
      </c>
      <c r="N326">
        <v>88</v>
      </c>
      <c r="O326">
        <v>93.6</v>
      </c>
      <c r="P326">
        <v>92.6</v>
      </c>
      <c r="Q326">
        <v>91.6</v>
      </c>
      <c r="R326">
        <v>4.5999999999999996</v>
      </c>
      <c r="S326">
        <v>8.3000000000000007</v>
      </c>
      <c r="T326" t="s">
        <v>31</v>
      </c>
      <c r="U326">
        <v>5</v>
      </c>
      <c r="V326">
        <v>9</v>
      </c>
    </row>
    <row r="327" spans="1:22" x14ac:dyDescent="0.3">
      <c r="A327" t="s">
        <v>553</v>
      </c>
      <c r="B327" t="s">
        <v>285</v>
      </c>
      <c r="C327" t="s">
        <v>40</v>
      </c>
      <c r="D327" t="s">
        <v>49</v>
      </c>
      <c r="E327" t="s">
        <v>41</v>
      </c>
      <c r="F327" t="s">
        <v>72</v>
      </c>
      <c r="G327" t="s">
        <v>76</v>
      </c>
      <c r="H327" t="s">
        <v>29</v>
      </c>
      <c r="I327" t="s">
        <v>92</v>
      </c>
      <c r="J327">
        <v>89</v>
      </c>
      <c r="K327">
        <v>2</v>
      </c>
      <c r="L327">
        <v>20</v>
      </c>
      <c r="M327">
        <v>147</v>
      </c>
      <c r="N327">
        <v>129</v>
      </c>
      <c r="O327">
        <v>87.8</v>
      </c>
      <c r="P327">
        <v>90.8</v>
      </c>
      <c r="Q327">
        <v>83.8</v>
      </c>
      <c r="R327">
        <v>4.5</v>
      </c>
      <c r="S327">
        <v>8.6999999999999993</v>
      </c>
      <c r="T327" t="s">
        <v>31</v>
      </c>
      <c r="U327">
        <v>5</v>
      </c>
      <c r="V327">
        <v>12</v>
      </c>
    </row>
    <row r="328" spans="1:22" x14ac:dyDescent="0.3">
      <c r="A328" t="s">
        <v>554</v>
      </c>
      <c r="B328" t="s">
        <v>104</v>
      </c>
      <c r="C328" t="s">
        <v>24</v>
      </c>
      <c r="D328" t="s">
        <v>49</v>
      </c>
      <c r="E328" t="s">
        <v>41</v>
      </c>
      <c r="F328" t="s">
        <v>35</v>
      </c>
      <c r="G328" t="s">
        <v>43</v>
      </c>
      <c r="H328" t="s">
        <v>56</v>
      </c>
      <c r="I328" t="s">
        <v>37</v>
      </c>
      <c r="J328">
        <v>87</v>
      </c>
      <c r="K328">
        <v>3</v>
      </c>
      <c r="L328">
        <v>24</v>
      </c>
      <c r="M328">
        <v>133</v>
      </c>
      <c r="N328">
        <v>119</v>
      </c>
      <c r="O328">
        <v>89.5</v>
      </c>
      <c r="P328">
        <v>93.5</v>
      </c>
      <c r="Q328">
        <v>96.5</v>
      </c>
      <c r="R328">
        <v>4.5999999999999996</v>
      </c>
      <c r="S328">
        <v>8.1999999999999993</v>
      </c>
      <c r="T328" t="s">
        <v>31</v>
      </c>
      <c r="U328">
        <v>5</v>
      </c>
      <c r="V328">
        <v>6</v>
      </c>
    </row>
    <row r="329" spans="1:22" x14ac:dyDescent="0.3">
      <c r="A329" t="s">
        <v>555</v>
      </c>
      <c r="B329" t="s">
        <v>378</v>
      </c>
      <c r="C329" t="s">
        <v>40</v>
      </c>
      <c r="D329" t="s">
        <v>49</v>
      </c>
      <c r="E329" t="s">
        <v>34</v>
      </c>
      <c r="F329" t="s">
        <v>42</v>
      </c>
      <c r="G329" t="s">
        <v>63</v>
      </c>
      <c r="H329" t="s">
        <v>29</v>
      </c>
      <c r="I329" t="s">
        <v>57</v>
      </c>
      <c r="J329">
        <v>96</v>
      </c>
      <c r="K329">
        <v>1</v>
      </c>
      <c r="L329">
        <v>19</v>
      </c>
      <c r="M329">
        <v>149</v>
      </c>
      <c r="N329">
        <v>133</v>
      </c>
      <c r="O329">
        <v>89.3</v>
      </c>
      <c r="P329">
        <v>87.3</v>
      </c>
      <c r="Q329">
        <v>93.3</v>
      </c>
      <c r="R329">
        <v>4.2</v>
      </c>
      <c r="S329">
        <v>8.4</v>
      </c>
      <c r="T329" t="s">
        <v>31</v>
      </c>
      <c r="U329">
        <v>6</v>
      </c>
      <c r="V329">
        <v>3</v>
      </c>
    </row>
    <row r="330" spans="1:22" x14ac:dyDescent="0.3">
      <c r="A330" t="s">
        <v>556</v>
      </c>
      <c r="B330" t="s">
        <v>557</v>
      </c>
      <c r="C330" t="s">
        <v>40</v>
      </c>
      <c r="D330" t="s">
        <v>49</v>
      </c>
      <c r="E330" t="s">
        <v>41</v>
      </c>
      <c r="F330" t="s">
        <v>54</v>
      </c>
      <c r="G330" t="s">
        <v>36</v>
      </c>
      <c r="H330" t="s">
        <v>29</v>
      </c>
      <c r="I330" t="s">
        <v>45</v>
      </c>
      <c r="J330">
        <v>83</v>
      </c>
      <c r="K330">
        <v>4</v>
      </c>
      <c r="L330">
        <v>14</v>
      </c>
      <c r="M330">
        <v>121</v>
      </c>
      <c r="N330">
        <v>111</v>
      </c>
      <c r="O330">
        <v>91.7</v>
      </c>
      <c r="P330">
        <v>92.7</v>
      </c>
      <c r="Q330">
        <v>92.7</v>
      </c>
      <c r="R330">
        <v>4.7</v>
      </c>
      <c r="S330">
        <v>8.5</v>
      </c>
      <c r="T330" t="s">
        <v>46</v>
      </c>
      <c r="U330">
        <v>0</v>
      </c>
      <c r="V330">
        <v>9</v>
      </c>
    </row>
    <row r="331" spans="1:22" x14ac:dyDescent="0.3">
      <c r="A331" t="s">
        <v>558</v>
      </c>
      <c r="B331" t="s">
        <v>204</v>
      </c>
      <c r="C331" t="s">
        <v>24</v>
      </c>
      <c r="D331" t="s">
        <v>49</v>
      </c>
      <c r="E331" t="s">
        <v>26</v>
      </c>
      <c r="F331" t="s">
        <v>42</v>
      </c>
      <c r="G331" t="s">
        <v>63</v>
      </c>
      <c r="H331" t="s">
        <v>29</v>
      </c>
      <c r="I331" t="s">
        <v>37</v>
      </c>
      <c r="J331">
        <v>94</v>
      </c>
      <c r="K331">
        <v>1</v>
      </c>
      <c r="L331">
        <v>2</v>
      </c>
      <c r="M331">
        <v>117</v>
      </c>
      <c r="N331">
        <v>105</v>
      </c>
      <c r="O331">
        <v>89.7</v>
      </c>
      <c r="P331">
        <v>88.7</v>
      </c>
      <c r="Q331">
        <v>89.7</v>
      </c>
      <c r="R331">
        <v>4.3</v>
      </c>
      <c r="S331">
        <v>8.1999999999999993</v>
      </c>
      <c r="T331" t="s">
        <v>31</v>
      </c>
      <c r="U331">
        <v>4</v>
      </c>
      <c r="V331">
        <v>9</v>
      </c>
    </row>
    <row r="332" spans="1:22" x14ac:dyDescent="0.3">
      <c r="A332" t="s">
        <v>559</v>
      </c>
      <c r="B332" t="s">
        <v>349</v>
      </c>
      <c r="C332" t="s">
        <v>40</v>
      </c>
      <c r="D332" t="s">
        <v>49</v>
      </c>
      <c r="E332" t="s">
        <v>71</v>
      </c>
      <c r="F332" t="s">
        <v>27</v>
      </c>
      <c r="G332" t="s">
        <v>28</v>
      </c>
      <c r="H332" t="s">
        <v>44</v>
      </c>
      <c r="I332" t="s">
        <v>57</v>
      </c>
      <c r="J332">
        <v>84</v>
      </c>
      <c r="K332">
        <v>4</v>
      </c>
      <c r="L332">
        <v>5</v>
      </c>
      <c r="M332">
        <v>145</v>
      </c>
      <c r="N332">
        <v>125</v>
      </c>
      <c r="O332">
        <v>86.2</v>
      </c>
      <c r="P332">
        <v>87.2</v>
      </c>
      <c r="Q332">
        <v>86.2</v>
      </c>
      <c r="R332">
        <v>4.0999999999999996</v>
      </c>
      <c r="S332">
        <v>8.4</v>
      </c>
      <c r="T332" t="s">
        <v>31</v>
      </c>
      <c r="U332">
        <v>6</v>
      </c>
      <c r="V332">
        <v>10</v>
      </c>
    </row>
    <row r="333" spans="1:22" x14ac:dyDescent="0.3">
      <c r="A333" t="s">
        <v>560</v>
      </c>
      <c r="B333" t="s">
        <v>264</v>
      </c>
      <c r="C333" t="s">
        <v>24</v>
      </c>
      <c r="D333" t="s">
        <v>25</v>
      </c>
      <c r="E333" t="s">
        <v>26</v>
      </c>
      <c r="F333" t="s">
        <v>54</v>
      </c>
      <c r="G333" t="s">
        <v>76</v>
      </c>
      <c r="H333" t="s">
        <v>29</v>
      </c>
      <c r="I333" t="s">
        <v>92</v>
      </c>
      <c r="J333">
        <v>87</v>
      </c>
      <c r="K333">
        <v>3</v>
      </c>
      <c r="L333">
        <v>22</v>
      </c>
      <c r="M333">
        <v>119</v>
      </c>
      <c r="N333">
        <v>119</v>
      </c>
      <c r="O333">
        <v>100</v>
      </c>
      <c r="P333">
        <v>98</v>
      </c>
      <c r="Q333">
        <v>103</v>
      </c>
      <c r="R333">
        <v>5</v>
      </c>
      <c r="S333">
        <v>7.5</v>
      </c>
      <c r="T333" t="s">
        <v>46</v>
      </c>
      <c r="U333">
        <v>1</v>
      </c>
      <c r="V333">
        <v>6</v>
      </c>
    </row>
    <row r="334" spans="1:22" x14ac:dyDescent="0.3">
      <c r="A334" t="s">
        <v>561</v>
      </c>
      <c r="B334" t="s">
        <v>562</v>
      </c>
      <c r="C334" t="s">
        <v>40</v>
      </c>
      <c r="D334" t="s">
        <v>49</v>
      </c>
      <c r="E334" t="s">
        <v>26</v>
      </c>
      <c r="F334" t="s">
        <v>42</v>
      </c>
      <c r="G334" t="s">
        <v>76</v>
      </c>
      <c r="H334" t="s">
        <v>29</v>
      </c>
      <c r="I334" t="s">
        <v>30</v>
      </c>
      <c r="J334">
        <v>85</v>
      </c>
      <c r="K334">
        <v>3</v>
      </c>
      <c r="L334">
        <v>7</v>
      </c>
      <c r="M334">
        <v>112</v>
      </c>
      <c r="N334">
        <v>101</v>
      </c>
      <c r="O334">
        <v>90.2</v>
      </c>
      <c r="P334">
        <v>94.2</v>
      </c>
      <c r="Q334">
        <v>98.2</v>
      </c>
      <c r="R334">
        <v>4.8</v>
      </c>
      <c r="S334">
        <v>8.1999999999999993</v>
      </c>
      <c r="T334" t="s">
        <v>46</v>
      </c>
      <c r="U334">
        <v>1</v>
      </c>
      <c r="V334">
        <v>4</v>
      </c>
    </row>
    <row r="335" spans="1:22" x14ac:dyDescent="0.3">
      <c r="A335" t="s">
        <v>563</v>
      </c>
      <c r="B335" t="s">
        <v>564</v>
      </c>
      <c r="C335" t="s">
        <v>24</v>
      </c>
      <c r="D335" t="s">
        <v>25</v>
      </c>
      <c r="E335" t="s">
        <v>71</v>
      </c>
      <c r="F335" t="s">
        <v>91</v>
      </c>
      <c r="G335" t="s">
        <v>55</v>
      </c>
      <c r="H335" t="s">
        <v>44</v>
      </c>
      <c r="I335" t="s">
        <v>82</v>
      </c>
      <c r="J335">
        <v>99</v>
      </c>
      <c r="K335">
        <v>0</v>
      </c>
      <c r="L335">
        <v>3</v>
      </c>
      <c r="M335">
        <v>145</v>
      </c>
      <c r="N335">
        <v>132</v>
      </c>
      <c r="O335">
        <v>91</v>
      </c>
      <c r="P335">
        <v>88</v>
      </c>
      <c r="Q335">
        <v>99</v>
      </c>
      <c r="R335">
        <v>4.0999999999999996</v>
      </c>
      <c r="S335">
        <v>7.9</v>
      </c>
      <c r="T335" t="s">
        <v>46</v>
      </c>
      <c r="U335">
        <v>1</v>
      </c>
      <c r="V335">
        <v>5</v>
      </c>
    </row>
    <row r="336" spans="1:22" x14ac:dyDescent="0.3">
      <c r="A336" t="s">
        <v>565</v>
      </c>
      <c r="B336" t="s">
        <v>332</v>
      </c>
      <c r="C336" t="s">
        <v>40</v>
      </c>
      <c r="D336" t="s">
        <v>25</v>
      </c>
      <c r="E336" t="s">
        <v>26</v>
      </c>
      <c r="F336" t="s">
        <v>72</v>
      </c>
      <c r="G336" t="s">
        <v>55</v>
      </c>
      <c r="H336" t="s">
        <v>44</v>
      </c>
      <c r="I336" t="s">
        <v>73</v>
      </c>
      <c r="J336">
        <v>90</v>
      </c>
      <c r="K336">
        <v>2</v>
      </c>
      <c r="L336">
        <v>2</v>
      </c>
      <c r="M336">
        <v>147</v>
      </c>
      <c r="N336">
        <v>121</v>
      </c>
      <c r="O336">
        <v>82.3</v>
      </c>
      <c r="P336">
        <v>78.3</v>
      </c>
      <c r="Q336">
        <v>78.3</v>
      </c>
      <c r="R336">
        <v>3.4</v>
      </c>
      <c r="S336">
        <v>8.6999999999999993</v>
      </c>
      <c r="T336" t="s">
        <v>31</v>
      </c>
      <c r="U336">
        <v>3</v>
      </c>
      <c r="V336">
        <v>8</v>
      </c>
    </row>
    <row r="337" spans="1:22" x14ac:dyDescent="0.3">
      <c r="A337" t="s">
        <v>566</v>
      </c>
      <c r="B337" t="s">
        <v>136</v>
      </c>
      <c r="C337" t="s">
        <v>24</v>
      </c>
      <c r="D337" t="s">
        <v>25</v>
      </c>
      <c r="E337" t="s">
        <v>71</v>
      </c>
      <c r="F337" t="s">
        <v>72</v>
      </c>
      <c r="G337" t="s">
        <v>63</v>
      </c>
      <c r="H337" t="s">
        <v>29</v>
      </c>
      <c r="I337" t="s">
        <v>82</v>
      </c>
      <c r="J337">
        <v>83</v>
      </c>
      <c r="K337">
        <v>4</v>
      </c>
      <c r="L337">
        <v>1</v>
      </c>
      <c r="M337">
        <v>178</v>
      </c>
      <c r="N337">
        <v>145</v>
      </c>
      <c r="O337">
        <v>81.5</v>
      </c>
      <c r="P337">
        <v>84.5</v>
      </c>
      <c r="Q337">
        <v>75</v>
      </c>
      <c r="R337">
        <v>3.8</v>
      </c>
      <c r="S337">
        <v>8.6999999999999993</v>
      </c>
      <c r="T337" t="s">
        <v>31</v>
      </c>
      <c r="U337">
        <v>7</v>
      </c>
      <c r="V337">
        <v>7</v>
      </c>
    </row>
    <row r="338" spans="1:22" x14ac:dyDescent="0.3">
      <c r="A338" t="s">
        <v>567</v>
      </c>
      <c r="B338" t="s">
        <v>374</v>
      </c>
      <c r="C338" t="s">
        <v>24</v>
      </c>
      <c r="D338" t="s">
        <v>25</v>
      </c>
      <c r="E338" t="s">
        <v>67</v>
      </c>
      <c r="F338" t="s">
        <v>54</v>
      </c>
      <c r="G338" t="s">
        <v>36</v>
      </c>
      <c r="H338" t="s">
        <v>44</v>
      </c>
      <c r="I338" t="s">
        <v>57</v>
      </c>
      <c r="J338">
        <v>90</v>
      </c>
      <c r="K338">
        <v>2</v>
      </c>
      <c r="L338">
        <v>1</v>
      </c>
      <c r="M338">
        <v>94</v>
      </c>
      <c r="N338">
        <v>81</v>
      </c>
      <c r="O338">
        <v>86.2</v>
      </c>
      <c r="P338">
        <v>86.2</v>
      </c>
      <c r="Q338">
        <v>87.2</v>
      </c>
      <c r="R338">
        <v>3.9</v>
      </c>
      <c r="S338">
        <v>8.6999999999999993</v>
      </c>
      <c r="T338" t="s">
        <v>31</v>
      </c>
      <c r="U338">
        <v>7</v>
      </c>
      <c r="V338">
        <v>3</v>
      </c>
    </row>
    <row r="339" spans="1:22" x14ac:dyDescent="0.3">
      <c r="A339" t="s">
        <v>568</v>
      </c>
      <c r="B339" t="s">
        <v>569</v>
      </c>
      <c r="C339" t="s">
        <v>24</v>
      </c>
      <c r="D339" t="s">
        <v>25</v>
      </c>
      <c r="E339" t="s">
        <v>50</v>
      </c>
      <c r="F339" t="s">
        <v>35</v>
      </c>
      <c r="G339" t="s">
        <v>43</v>
      </c>
      <c r="H339" t="s">
        <v>44</v>
      </c>
      <c r="I339" t="s">
        <v>82</v>
      </c>
      <c r="J339">
        <v>84</v>
      </c>
      <c r="K339">
        <v>4</v>
      </c>
      <c r="L339">
        <v>1</v>
      </c>
      <c r="M339">
        <v>177</v>
      </c>
      <c r="N339">
        <v>160</v>
      </c>
      <c r="O339">
        <v>90.4</v>
      </c>
      <c r="P339">
        <v>90.4</v>
      </c>
      <c r="Q339">
        <v>98.4</v>
      </c>
      <c r="R339">
        <v>4.3</v>
      </c>
      <c r="S339">
        <v>8.3000000000000007</v>
      </c>
      <c r="T339" t="s">
        <v>46</v>
      </c>
      <c r="U339">
        <v>0</v>
      </c>
      <c r="V339">
        <v>2</v>
      </c>
    </row>
    <row r="340" spans="1:22" x14ac:dyDescent="0.3">
      <c r="A340" t="s">
        <v>570</v>
      </c>
      <c r="B340" t="s">
        <v>288</v>
      </c>
      <c r="C340" t="s">
        <v>40</v>
      </c>
      <c r="D340" t="s">
        <v>25</v>
      </c>
      <c r="E340" t="s">
        <v>67</v>
      </c>
      <c r="F340" t="s">
        <v>91</v>
      </c>
      <c r="G340" t="s">
        <v>43</v>
      </c>
      <c r="H340" t="s">
        <v>44</v>
      </c>
      <c r="I340" t="s">
        <v>73</v>
      </c>
      <c r="J340">
        <v>95</v>
      </c>
      <c r="K340">
        <v>1</v>
      </c>
      <c r="L340">
        <v>1</v>
      </c>
      <c r="M340">
        <v>114</v>
      </c>
      <c r="N340">
        <v>109</v>
      </c>
      <c r="O340">
        <v>95.6</v>
      </c>
      <c r="P340">
        <v>93.6</v>
      </c>
      <c r="Q340">
        <v>100.6</v>
      </c>
      <c r="R340">
        <v>4.5</v>
      </c>
      <c r="S340">
        <v>8.1999999999999993</v>
      </c>
      <c r="T340" t="s">
        <v>46</v>
      </c>
      <c r="U340">
        <v>2</v>
      </c>
      <c r="V340">
        <v>1</v>
      </c>
    </row>
    <row r="341" spans="1:22" x14ac:dyDescent="0.3">
      <c r="A341" t="s">
        <v>571</v>
      </c>
      <c r="B341" t="s">
        <v>117</v>
      </c>
      <c r="C341" t="s">
        <v>24</v>
      </c>
      <c r="D341" t="s">
        <v>25</v>
      </c>
      <c r="E341" t="s">
        <v>26</v>
      </c>
      <c r="F341" t="s">
        <v>72</v>
      </c>
      <c r="G341" t="s">
        <v>43</v>
      </c>
      <c r="H341" t="s">
        <v>44</v>
      </c>
      <c r="I341" t="s">
        <v>64</v>
      </c>
      <c r="J341">
        <v>91</v>
      </c>
      <c r="K341">
        <v>2</v>
      </c>
      <c r="L341">
        <v>21</v>
      </c>
      <c r="M341">
        <v>128</v>
      </c>
      <c r="N341">
        <v>114</v>
      </c>
      <c r="O341">
        <v>89.1</v>
      </c>
      <c r="P341">
        <v>89.1</v>
      </c>
      <c r="Q341">
        <v>90.1</v>
      </c>
      <c r="R341">
        <v>4.2</v>
      </c>
      <c r="S341">
        <v>8.3000000000000007</v>
      </c>
      <c r="T341" t="s">
        <v>31</v>
      </c>
      <c r="U341">
        <v>5</v>
      </c>
      <c r="V341">
        <v>2</v>
      </c>
    </row>
    <row r="342" spans="1:22" x14ac:dyDescent="0.3">
      <c r="A342" t="s">
        <v>572</v>
      </c>
      <c r="B342" t="s">
        <v>573</v>
      </c>
      <c r="C342" t="s">
        <v>24</v>
      </c>
      <c r="D342" t="s">
        <v>25</v>
      </c>
      <c r="E342" t="s">
        <v>67</v>
      </c>
      <c r="F342" t="s">
        <v>42</v>
      </c>
      <c r="G342" t="s">
        <v>55</v>
      </c>
      <c r="H342" t="s">
        <v>44</v>
      </c>
      <c r="I342" t="s">
        <v>30</v>
      </c>
      <c r="J342">
        <v>83</v>
      </c>
      <c r="K342">
        <v>4</v>
      </c>
      <c r="L342">
        <v>8</v>
      </c>
      <c r="M342">
        <v>147</v>
      </c>
      <c r="N342">
        <v>124</v>
      </c>
      <c r="O342">
        <v>84.4</v>
      </c>
      <c r="P342">
        <v>88.4</v>
      </c>
      <c r="Q342">
        <v>87.4</v>
      </c>
      <c r="R342">
        <v>4.3</v>
      </c>
      <c r="S342">
        <v>8.6999999999999993</v>
      </c>
      <c r="T342" t="s">
        <v>31</v>
      </c>
      <c r="U342">
        <v>4</v>
      </c>
      <c r="V342">
        <v>12</v>
      </c>
    </row>
    <row r="343" spans="1:22" x14ac:dyDescent="0.3">
      <c r="A343" t="s">
        <v>574</v>
      </c>
      <c r="B343" t="s">
        <v>136</v>
      </c>
      <c r="C343" t="s">
        <v>40</v>
      </c>
      <c r="D343" t="s">
        <v>25</v>
      </c>
      <c r="E343" t="s">
        <v>34</v>
      </c>
      <c r="F343" t="s">
        <v>72</v>
      </c>
      <c r="G343" t="s">
        <v>63</v>
      </c>
      <c r="H343" t="s">
        <v>29</v>
      </c>
      <c r="I343" t="s">
        <v>92</v>
      </c>
      <c r="J343">
        <v>86</v>
      </c>
      <c r="K343">
        <v>3</v>
      </c>
      <c r="L343">
        <v>7</v>
      </c>
      <c r="M343">
        <v>175</v>
      </c>
      <c r="N343">
        <v>169</v>
      </c>
      <c r="O343">
        <v>96.6</v>
      </c>
      <c r="P343">
        <v>98.6</v>
      </c>
      <c r="Q343">
        <v>89.6</v>
      </c>
      <c r="R343">
        <v>4.9000000000000004</v>
      </c>
      <c r="S343">
        <v>7.7</v>
      </c>
      <c r="T343" t="s">
        <v>46</v>
      </c>
      <c r="U343">
        <v>2</v>
      </c>
      <c r="V343">
        <v>7</v>
      </c>
    </row>
    <row r="344" spans="1:22" x14ac:dyDescent="0.3">
      <c r="A344" t="s">
        <v>575</v>
      </c>
      <c r="B344" t="s">
        <v>246</v>
      </c>
      <c r="C344" t="s">
        <v>40</v>
      </c>
      <c r="D344" t="s">
        <v>25</v>
      </c>
      <c r="E344" t="s">
        <v>50</v>
      </c>
      <c r="F344" t="s">
        <v>35</v>
      </c>
      <c r="G344" t="s">
        <v>55</v>
      </c>
      <c r="H344" t="s">
        <v>44</v>
      </c>
      <c r="I344" t="s">
        <v>68</v>
      </c>
      <c r="J344">
        <v>89</v>
      </c>
      <c r="K344">
        <v>2</v>
      </c>
      <c r="L344">
        <v>14</v>
      </c>
      <c r="M344">
        <v>158</v>
      </c>
      <c r="N344">
        <v>148</v>
      </c>
      <c r="O344">
        <v>93.7</v>
      </c>
      <c r="P344">
        <v>92.7</v>
      </c>
      <c r="Q344">
        <v>98.7</v>
      </c>
      <c r="R344">
        <v>4.5999999999999996</v>
      </c>
      <c r="S344">
        <v>8.4</v>
      </c>
      <c r="T344" t="s">
        <v>31</v>
      </c>
      <c r="U344">
        <v>3</v>
      </c>
      <c r="V344">
        <v>2</v>
      </c>
    </row>
    <row r="345" spans="1:22" x14ac:dyDescent="0.3">
      <c r="A345" t="s">
        <v>576</v>
      </c>
      <c r="B345" t="s">
        <v>303</v>
      </c>
      <c r="C345" t="s">
        <v>40</v>
      </c>
      <c r="D345" t="s">
        <v>25</v>
      </c>
      <c r="E345" t="s">
        <v>26</v>
      </c>
      <c r="F345" t="s">
        <v>27</v>
      </c>
      <c r="G345" t="s">
        <v>43</v>
      </c>
      <c r="H345" t="s">
        <v>56</v>
      </c>
      <c r="I345" t="s">
        <v>82</v>
      </c>
      <c r="J345">
        <v>86</v>
      </c>
      <c r="K345">
        <v>3</v>
      </c>
      <c r="L345">
        <v>9</v>
      </c>
      <c r="M345">
        <v>131</v>
      </c>
      <c r="N345">
        <v>127</v>
      </c>
      <c r="O345">
        <v>96.9</v>
      </c>
      <c r="P345">
        <v>99.9</v>
      </c>
      <c r="Q345">
        <v>95.9</v>
      </c>
      <c r="R345">
        <v>5</v>
      </c>
      <c r="S345">
        <v>7.3</v>
      </c>
      <c r="T345" t="s">
        <v>31</v>
      </c>
      <c r="U345">
        <v>3</v>
      </c>
      <c r="V345">
        <v>7</v>
      </c>
    </row>
    <row r="346" spans="1:22" x14ac:dyDescent="0.3">
      <c r="A346" t="s">
        <v>577</v>
      </c>
      <c r="B346" t="s">
        <v>277</v>
      </c>
      <c r="C346" t="s">
        <v>40</v>
      </c>
      <c r="D346" t="s">
        <v>49</v>
      </c>
      <c r="E346" t="s">
        <v>71</v>
      </c>
      <c r="F346" t="s">
        <v>72</v>
      </c>
      <c r="G346" t="s">
        <v>36</v>
      </c>
      <c r="H346" t="s">
        <v>44</v>
      </c>
      <c r="I346" t="s">
        <v>60</v>
      </c>
      <c r="J346">
        <v>98</v>
      </c>
      <c r="K346">
        <v>0</v>
      </c>
      <c r="L346">
        <v>9</v>
      </c>
      <c r="M346">
        <v>175</v>
      </c>
      <c r="N346">
        <v>156</v>
      </c>
      <c r="O346">
        <v>89.1</v>
      </c>
      <c r="P346">
        <v>88.1</v>
      </c>
      <c r="Q346">
        <v>94.1</v>
      </c>
      <c r="R346">
        <v>4.0999999999999996</v>
      </c>
      <c r="S346">
        <v>8.6999999999999993</v>
      </c>
      <c r="T346" t="s">
        <v>31</v>
      </c>
      <c r="U346">
        <v>3</v>
      </c>
      <c r="V346">
        <v>11</v>
      </c>
    </row>
    <row r="347" spans="1:22" x14ac:dyDescent="0.3">
      <c r="A347" t="s">
        <v>578</v>
      </c>
      <c r="B347" t="s">
        <v>401</v>
      </c>
      <c r="C347" t="s">
        <v>24</v>
      </c>
      <c r="D347" t="s">
        <v>25</v>
      </c>
      <c r="E347" t="s">
        <v>41</v>
      </c>
      <c r="F347" t="s">
        <v>27</v>
      </c>
      <c r="G347" t="s">
        <v>55</v>
      </c>
      <c r="H347" t="s">
        <v>56</v>
      </c>
      <c r="I347" t="s">
        <v>82</v>
      </c>
      <c r="J347">
        <v>82</v>
      </c>
      <c r="K347">
        <v>4</v>
      </c>
      <c r="L347">
        <v>13</v>
      </c>
      <c r="M347">
        <v>127</v>
      </c>
      <c r="N347">
        <v>113</v>
      </c>
      <c r="O347">
        <v>89</v>
      </c>
      <c r="P347">
        <v>91</v>
      </c>
      <c r="Q347">
        <v>96</v>
      </c>
      <c r="R347">
        <v>4.5</v>
      </c>
      <c r="S347">
        <v>8.5</v>
      </c>
      <c r="T347" t="s">
        <v>31</v>
      </c>
      <c r="U347">
        <v>3</v>
      </c>
      <c r="V347">
        <v>7</v>
      </c>
    </row>
    <row r="348" spans="1:22" x14ac:dyDescent="0.3">
      <c r="A348" t="s">
        <v>579</v>
      </c>
      <c r="B348" t="s">
        <v>580</v>
      </c>
      <c r="C348" t="s">
        <v>24</v>
      </c>
      <c r="D348" t="s">
        <v>49</v>
      </c>
      <c r="E348" t="s">
        <v>26</v>
      </c>
      <c r="F348" t="s">
        <v>35</v>
      </c>
      <c r="G348" t="s">
        <v>76</v>
      </c>
      <c r="H348" t="s">
        <v>56</v>
      </c>
      <c r="I348" t="s">
        <v>51</v>
      </c>
      <c r="J348">
        <v>85</v>
      </c>
      <c r="K348">
        <v>3</v>
      </c>
      <c r="L348">
        <v>15</v>
      </c>
      <c r="M348">
        <v>104</v>
      </c>
      <c r="N348">
        <v>97</v>
      </c>
      <c r="O348">
        <v>93.3</v>
      </c>
      <c r="P348">
        <v>97.3</v>
      </c>
      <c r="Q348">
        <v>88.3</v>
      </c>
      <c r="R348">
        <v>4.9000000000000004</v>
      </c>
      <c r="S348">
        <v>7.9</v>
      </c>
      <c r="T348" t="s">
        <v>46</v>
      </c>
      <c r="U348">
        <v>0</v>
      </c>
      <c r="V348">
        <v>0</v>
      </c>
    </row>
    <row r="349" spans="1:22" x14ac:dyDescent="0.3">
      <c r="A349" t="s">
        <v>581</v>
      </c>
      <c r="B349" t="s">
        <v>480</v>
      </c>
      <c r="C349" t="s">
        <v>24</v>
      </c>
      <c r="D349" t="s">
        <v>25</v>
      </c>
      <c r="E349" t="s">
        <v>67</v>
      </c>
      <c r="F349" t="s">
        <v>54</v>
      </c>
      <c r="G349" t="s">
        <v>55</v>
      </c>
      <c r="H349" t="s">
        <v>29</v>
      </c>
      <c r="I349" t="s">
        <v>79</v>
      </c>
      <c r="J349">
        <v>85</v>
      </c>
      <c r="K349">
        <v>3</v>
      </c>
      <c r="L349">
        <v>21</v>
      </c>
      <c r="M349">
        <v>96</v>
      </c>
      <c r="N349">
        <v>86</v>
      </c>
      <c r="O349">
        <v>89.6</v>
      </c>
      <c r="P349">
        <v>87.6</v>
      </c>
      <c r="Q349">
        <v>96.6</v>
      </c>
      <c r="R349">
        <v>4.0999999999999996</v>
      </c>
      <c r="S349">
        <v>7.9</v>
      </c>
      <c r="T349" t="s">
        <v>31</v>
      </c>
      <c r="U349">
        <v>3</v>
      </c>
      <c r="V349">
        <v>8</v>
      </c>
    </row>
    <row r="350" spans="1:22" x14ac:dyDescent="0.3">
      <c r="A350" t="s">
        <v>582</v>
      </c>
      <c r="B350" t="s">
        <v>368</v>
      </c>
      <c r="C350" t="s">
        <v>40</v>
      </c>
      <c r="D350" t="s">
        <v>49</v>
      </c>
      <c r="E350" t="s">
        <v>26</v>
      </c>
      <c r="F350" t="s">
        <v>35</v>
      </c>
      <c r="G350" t="s">
        <v>55</v>
      </c>
      <c r="H350" t="s">
        <v>29</v>
      </c>
      <c r="I350" t="s">
        <v>60</v>
      </c>
      <c r="J350">
        <v>89</v>
      </c>
      <c r="K350">
        <v>2</v>
      </c>
      <c r="L350">
        <v>1</v>
      </c>
      <c r="M350">
        <v>164</v>
      </c>
      <c r="N350">
        <v>140</v>
      </c>
      <c r="O350">
        <v>85.4</v>
      </c>
      <c r="P350">
        <v>83.4</v>
      </c>
      <c r="Q350">
        <v>86.4</v>
      </c>
      <c r="R350">
        <v>3.9</v>
      </c>
      <c r="S350">
        <v>8.6999999999999993</v>
      </c>
      <c r="T350" t="s">
        <v>31</v>
      </c>
      <c r="U350">
        <v>7</v>
      </c>
      <c r="V350">
        <v>11</v>
      </c>
    </row>
    <row r="351" spans="1:22" x14ac:dyDescent="0.3">
      <c r="A351" t="s">
        <v>583</v>
      </c>
      <c r="B351" t="s">
        <v>288</v>
      </c>
      <c r="C351" t="s">
        <v>24</v>
      </c>
      <c r="D351" t="s">
        <v>49</v>
      </c>
      <c r="E351" t="s">
        <v>50</v>
      </c>
      <c r="F351" t="s">
        <v>54</v>
      </c>
      <c r="G351" t="s">
        <v>28</v>
      </c>
      <c r="H351" t="s">
        <v>29</v>
      </c>
      <c r="I351" t="s">
        <v>92</v>
      </c>
      <c r="J351">
        <v>86</v>
      </c>
      <c r="K351">
        <v>3</v>
      </c>
      <c r="L351">
        <v>8</v>
      </c>
      <c r="M351">
        <v>110</v>
      </c>
      <c r="N351">
        <v>105</v>
      </c>
      <c r="O351">
        <v>95.5</v>
      </c>
      <c r="P351">
        <v>95.5</v>
      </c>
      <c r="Q351">
        <v>100.5</v>
      </c>
      <c r="R351">
        <v>4.8</v>
      </c>
      <c r="S351">
        <v>8</v>
      </c>
      <c r="T351" t="s">
        <v>46</v>
      </c>
      <c r="U351">
        <v>1</v>
      </c>
      <c r="V351">
        <v>12</v>
      </c>
    </row>
    <row r="352" spans="1:22" x14ac:dyDescent="0.3">
      <c r="A352" t="s">
        <v>584</v>
      </c>
      <c r="B352" t="s">
        <v>117</v>
      </c>
      <c r="C352" t="s">
        <v>40</v>
      </c>
      <c r="D352" t="s">
        <v>25</v>
      </c>
      <c r="E352" t="s">
        <v>67</v>
      </c>
      <c r="F352" t="s">
        <v>27</v>
      </c>
      <c r="G352" t="s">
        <v>55</v>
      </c>
      <c r="H352" t="s">
        <v>29</v>
      </c>
      <c r="I352" t="s">
        <v>51</v>
      </c>
      <c r="J352">
        <v>92</v>
      </c>
      <c r="K352">
        <v>2</v>
      </c>
      <c r="L352">
        <v>13</v>
      </c>
      <c r="M352">
        <v>170</v>
      </c>
      <c r="N352">
        <v>145</v>
      </c>
      <c r="O352">
        <v>85.3</v>
      </c>
      <c r="P352">
        <v>85.3</v>
      </c>
      <c r="Q352">
        <v>93.3</v>
      </c>
      <c r="R352">
        <v>3.9</v>
      </c>
      <c r="S352">
        <v>8.9</v>
      </c>
      <c r="T352" t="s">
        <v>31</v>
      </c>
      <c r="U352">
        <v>4</v>
      </c>
      <c r="V352">
        <v>4</v>
      </c>
    </row>
    <row r="353" spans="1:22" x14ac:dyDescent="0.3">
      <c r="A353" t="s">
        <v>585</v>
      </c>
      <c r="B353" t="s">
        <v>113</v>
      </c>
      <c r="C353" t="s">
        <v>24</v>
      </c>
      <c r="D353" t="s">
        <v>49</v>
      </c>
      <c r="E353" t="s">
        <v>34</v>
      </c>
      <c r="F353" t="s">
        <v>27</v>
      </c>
      <c r="G353" t="s">
        <v>43</v>
      </c>
      <c r="H353" t="s">
        <v>56</v>
      </c>
      <c r="I353" t="s">
        <v>30</v>
      </c>
      <c r="J353">
        <v>84</v>
      </c>
      <c r="K353">
        <v>4</v>
      </c>
      <c r="L353">
        <v>21</v>
      </c>
      <c r="M353">
        <v>173</v>
      </c>
      <c r="N353">
        <v>146</v>
      </c>
      <c r="O353">
        <v>84.4</v>
      </c>
      <c r="P353">
        <v>83.4</v>
      </c>
      <c r="Q353">
        <v>83.4</v>
      </c>
      <c r="R353">
        <v>3.6</v>
      </c>
      <c r="S353">
        <v>8.8000000000000007</v>
      </c>
      <c r="T353" t="s">
        <v>31</v>
      </c>
      <c r="U353">
        <v>4</v>
      </c>
      <c r="V353">
        <v>12</v>
      </c>
    </row>
    <row r="354" spans="1:22" x14ac:dyDescent="0.3">
      <c r="A354" t="s">
        <v>586</v>
      </c>
      <c r="B354" t="s">
        <v>587</v>
      </c>
      <c r="C354" t="s">
        <v>40</v>
      </c>
      <c r="D354" t="s">
        <v>25</v>
      </c>
      <c r="E354" t="s">
        <v>50</v>
      </c>
      <c r="F354" t="s">
        <v>54</v>
      </c>
      <c r="G354" t="s">
        <v>55</v>
      </c>
      <c r="H354" t="s">
        <v>44</v>
      </c>
      <c r="I354" t="s">
        <v>68</v>
      </c>
      <c r="J354">
        <v>87</v>
      </c>
      <c r="K354">
        <v>3</v>
      </c>
      <c r="L354">
        <v>11</v>
      </c>
      <c r="M354">
        <v>167</v>
      </c>
      <c r="N354">
        <v>139</v>
      </c>
      <c r="O354">
        <v>83.2</v>
      </c>
      <c r="P354">
        <v>85.2</v>
      </c>
      <c r="Q354">
        <v>90.2</v>
      </c>
      <c r="R354">
        <v>4</v>
      </c>
      <c r="S354">
        <v>8.9</v>
      </c>
      <c r="T354" t="s">
        <v>31</v>
      </c>
      <c r="U354">
        <v>5</v>
      </c>
      <c r="V354">
        <v>0</v>
      </c>
    </row>
    <row r="355" spans="1:22" x14ac:dyDescent="0.3">
      <c r="A355" t="s">
        <v>588</v>
      </c>
      <c r="B355" t="s">
        <v>195</v>
      </c>
      <c r="C355" t="s">
        <v>40</v>
      </c>
      <c r="D355" t="s">
        <v>25</v>
      </c>
      <c r="E355" t="s">
        <v>34</v>
      </c>
      <c r="F355" t="s">
        <v>91</v>
      </c>
      <c r="G355" t="s">
        <v>76</v>
      </c>
      <c r="H355" t="s">
        <v>29</v>
      </c>
      <c r="I355" t="s">
        <v>45</v>
      </c>
      <c r="J355">
        <v>83</v>
      </c>
      <c r="K355">
        <v>4</v>
      </c>
      <c r="L355">
        <v>0</v>
      </c>
      <c r="M355">
        <v>168</v>
      </c>
      <c r="N355">
        <v>161</v>
      </c>
      <c r="O355">
        <v>95.8</v>
      </c>
      <c r="P355">
        <v>97.8</v>
      </c>
      <c r="Q355">
        <v>101.8</v>
      </c>
      <c r="R355">
        <v>4.8</v>
      </c>
      <c r="S355">
        <v>8.1999999999999993</v>
      </c>
      <c r="T355" t="s">
        <v>46</v>
      </c>
      <c r="U355">
        <v>0</v>
      </c>
      <c r="V355">
        <v>8</v>
      </c>
    </row>
    <row r="356" spans="1:22" x14ac:dyDescent="0.3">
      <c r="A356" t="s">
        <v>589</v>
      </c>
      <c r="B356" t="s">
        <v>590</v>
      </c>
      <c r="C356" t="s">
        <v>24</v>
      </c>
      <c r="D356" t="s">
        <v>25</v>
      </c>
      <c r="E356" t="s">
        <v>71</v>
      </c>
      <c r="F356" t="s">
        <v>91</v>
      </c>
      <c r="G356" t="s">
        <v>76</v>
      </c>
      <c r="H356" t="s">
        <v>56</v>
      </c>
      <c r="I356" t="s">
        <v>37</v>
      </c>
      <c r="J356">
        <v>99</v>
      </c>
      <c r="K356">
        <v>0</v>
      </c>
      <c r="L356">
        <v>8</v>
      </c>
      <c r="M356">
        <v>114</v>
      </c>
      <c r="N356">
        <v>112</v>
      </c>
      <c r="O356">
        <v>98.2</v>
      </c>
      <c r="P356">
        <v>98.2</v>
      </c>
      <c r="Q356">
        <v>96.2</v>
      </c>
      <c r="R356">
        <v>5</v>
      </c>
      <c r="S356">
        <v>7.2</v>
      </c>
      <c r="T356" t="s">
        <v>46</v>
      </c>
      <c r="U356">
        <v>2</v>
      </c>
      <c r="V356">
        <v>5</v>
      </c>
    </row>
    <row r="357" spans="1:22" x14ac:dyDescent="0.3">
      <c r="A357" t="s">
        <v>591</v>
      </c>
      <c r="B357" t="s">
        <v>150</v>
      </c>
      <c r="C357" t="s">
        <v>24</v>
      </c>
      <c r="D357" t="s">
        <v>49</v>
      </c>
      <c r="E357" t="s">
        <v>67</v>
      </c>
      <c r="F357" t="s">
        <v>91</v>
      </c>
      <c r="G357" t="s">
        <v>43</v>
      </c>
      <c r="H357" t="s">
        <v>44</v>
      </c>
      <c r="I357" t="s">
        <v>57</v>
      </c>
      <c r="J357">
        <v>90</v>
      </c>
      <c r="K357">
        <v>2</v>
      </c>
      <c r="L357">
        <v>15</v>
      </c>
      <c r="M357">
        <v>124</v>
      </c>
      <c r="N357">
        <v>124</v>
      </c>
      <c r="O357">
        <v>100</v>
      </c>
      <c r="P357">
        <v>100</v>
      </c>
      <c r="Q357">
        <v>107</v>
      </c>
      <c r="R357">
        <v>5</v>
      </c>
      <c r="S357">
        <v>7.2</v>
      </c>
      <c r="T357" t="s">
        <v>46</v>
      </c>
      <c r="U357">
        <v>0</v>
      </c>
      <c r="V357">
        <v>2</v>
      </c>
    </row>
    <row r="358" spans="1:22" x14ac:dyDescent="0.3">
      <c r="A358" t="s">
        <v>592</v>
      </c>
      <c r="B358" t="s">
        <v>423</v>
      </c>
      <c r="C358" t="s">
        <v>40</v>
      </c>
      <c r="D358" t="s">
        <v>49</v>
      </c>
      <c r="E358" t="s">
        <v>50</v>
      </c>
      <c r="F358" t="s">
        <v>54</v>
      </c>
      <c r="G358" t="s">
        <v>76</v>
      </c>
      <c r="H358" t="s">
        <v>29</v>
      </c>
      <c r="I358" t="s">
        <v>37</v>
      </c>
      <c r="J358">
        <v>86</v>
      </c>
      <c r="K358">
        <v>3</v>
      </c>
      <c r="L358">
        <v>17</v>
      </c>
      <c r="M358">
        <v>143</v>
      </c>
      <c r="N358">
        <v>119</v>
      </c>
      <c r="O358">
        <v>83.2</v>
      </c>
      <c r="P358">
        <v>87.2</v>
      </c>
      <c r="Q358">
        <v>79.2</v>
      </c>
      <c r="R358">
        <v>4</v>
      </c>
      <c r="S358">
        <v>8.6</v>
      </c>
      <c r="T358" t="s">
        <v>31</v>
      </c>
      <c r="U358">
        <v>6</v>
      </c>
      <c r="V358">
        <v>1</v>
      </c>
    </row>
    <row r="359" spans="1:22" x14ac:dyDescent="0.3">
      <c r="A359" t="s">
        <v>593</v>
      </c>
      <c r="B359" t="s">
        <v>130</v>
      </c>
      <c r="C359" t="s">
        <v>40</v>
      </c>
      <c r="D359" t="s">
        <v>49</v>
      </c>
      <c r="E359" t="s">
        <v>34</v>
      </c>
      <c r="F359" t="s">
        <v>27</v>
      </c>
      <c r="G359" t="s">
        <v>43</v>
      </c>
      <c r="H359" t="s">
        <v>56</v>
      </c>
      <c r="I359" t="s">
        <v>60</v>
      </c>
      <c r="J359">
        <v>100</v>
      </c>
      <c r="K359">
        <v>0</v>
      </c>
      <c r="L359">
        <v>16</v>
      </c>
      <c r="M359">
        <v>93</v>
      </c>
      <c r="N359">
        <v>91</v>
      </c>
      <c r="O359">
        <v>97.8</v>
      </c>
      <c r="P359">
        <v>97.8</v>
      </c>
      <c r="Q359">
        <v>97.8</v>
      </c>
      <c r="R359">
        <v>4.9000000000000004</v>
      </c>
      <c r="S359">
        <v>8</v>
      </c>
      <c r="T359" t="s">
        <v>46</v>
      </c>
      <c r="U359">
        <v>2</v>
      </c>
      <c r="V359">
        <v>7</v>
      </c>
    </row>
    <row r="360" spans="1:22" x14ac:dyDescent="0.3">
      <c r="A360" t="s">
        <v>594</v>
      </c>
      <c r="B360" t="s">
        <v>469</v>
      </c>
      <c r="C360" t="s">
        <v>24</v>
      </c>
      <c r="D360" t="s">
        <v>49</v>
      </c>
      <c r="E360" t="s">
        <v>26</v>
      </c>
      <c r="F360" t="s">
        <v>54</v>
      </c>
      <c r="G360" t="s">
        <v>28</v>
      </c>
      <c r="H360" t="s">
        <v>29</v>
      </c>
      <c r="I360" t="s">
        <v>82</v>
      </c>
      <c r="J360">
        <v>92</v>
      </c>
      <c r="K360">
        <v>2</v>
      </c>
      <c r="L360">
        <v>8</v>
      </c>
      <c r="M360">
        <v>104</v>
      </c>
      <c r="N360">
        <v>103</v>
      </c>
      <c r="O360">
        <v>99</v>
      </c>
      <c r="P360">
        <v>100</v>
      </c>
      <c r="Q360">
        <v>96</v>
      </c>
      <c r="R360">
        <v>5</v>
      </c>
      <c r="S360">
        <v>7.9</v>
      </c>
      <c r="T360" t="s">
        <v>46</v>
      </c>
      <c r="U360">
        <v>0</v>
      </c>
      <c r="V360">
        <v>9</v>
      </c>
    </row>
    <row r="361" spans="1:22" x14ac:dyDescent="0.3">
      <c r="A361" t="s">
        <v>595</v>
      </c>
      <c r="B361" t="s">
        <v>587</v>
      </c>
      <c r="C361" t="s">
        <v>24</v>
      </c>
      <c r="D361" t="s">
        <v>49</v>
      </c>
      <c r="E361" t="s">
        <v>26</v>
      </c>
      <c r="F361" t="s">
        <v>42</v>
      </c>
      <c r="G361" t="s">
        <v>55</v>
      </c>
      <c r="H361" t="s">
        <v>56</v>
      </c>
      <c r="I361" t="s">
        <v>64</v>
      </c>
      <c r="J361">
        <v>87</v>
      </c>
      <c r="K361">
        <v>3</v>
      </c>
      <c r="L361">
        <v>9</v>
      </c>
      <c r="M361">
        <v>140</v>
      </c>
      <c r="N361">
        <v>125</v>
      </c>
      <c r="O361">
        <v>89.3</v>
      </c>
      <c r="P361">
        <v>85.3</v>
      </c>
      <c r="Q361">
        <v>96.3</v>
      </c>
      <c r="R361">
        <v>4</v>
      </c>
      <c r="S361">
        <v>8</v>
      </c>
      <c r="T361" t="s">
        <v>31</v>
      </c>
      <c r="U361">
        <v>7</v>
      </c>
      <c r="V361">
        <v>5</v>
      </c>
    </row>
    <row r="362" spans="1:22" x14ac:dyDescent="0.3">
      <c r="A362" t="s">
        <v>596</v>
      </c>
      <c r="B362" t="s">
        <v>119</v>
      </c>
      <c r="C362" t="s">
        <v>24</v>
      </c>
      <c r="D362" t="s">
        <v>49</v>
      </c>
      <c r="E362" t="s">
        <v>26</v>
      </c>
      <c r="F362" t="s">
        <v>72</v>
      </c>
      <c r="G362" t="s">
        <v>63</v>
      </c>
      <c r="H362" t="s">
        <v>29</v>
      </c>
      <c r="I362" t="s">
        <v>57</v>
      </c>
      <c r="J362">
        <v>93</v>
      </c>
      <c r="K362">
        <v>1</v>
      </c>
      <c r="L362">
        <v>4</v>
      </c>
      <c r="M362">
        <v>137</v>
      </c>
      <c r="N362">
        <v>122</v>
      </c>
      <c r="O362">
        <v>89.1</v>
      </c>
      <c r="P362">
        <v>87.1</v>
      </c>
      <c r="Q362">
        <v>94.1</v>
      </c>
      <c r="R362">
        <v>3.9</v>
      </c>
      <c r="S362">
        <v>8</v>
      </c>
      <c r="T362" t="s">
        <v>31</v>
      </c>
      <c r="U362">
        <v>4</v>
      </c>
      <c r="V362">
        <v>3</v>
      </c>
    </row>
    <row r="363" spans="1:22" x14ac:dyDescent="0.3">
      <c r="A363" t="s">
        <v>597</v>
      </c>
      <c r="B363" t="s">
        <v>212</v>
      </c>
      <c r="C363" t="s">
        <v>24</v>
      </c>
      <c r="D363" t="s">
        <v>25</v>
      </c>
      <c r="E363" t="s">
        <v>67</v>
      </c>
      <c r="F363" t="s">
        <v>42</v>
      </c>
      <c r="G363" t="s">
        <v>36</v>
      </c>
      <c r="H363" t="s">
        <v>29</v>
      </c>
      <c r="I363" t="s">
        <v>73</v>
      </c>
      <c r="J363">
        <v>91</v>
      </c>
      <c r="K363">
        <v>2</v>
      </c>
      <c r="L363">
        <v>10</v>
      </c>
      <c r="M363">
        <v>167</v>
      </c>
      <c r="N363">
        <v>163</v>
      </c>
      <c r="O363">
        <v>97.6</v>
      </c>
      <c r="P363">
        <v>93.6</v>
      </c>
      <c r="Q363">
        <v>97.6</v>
      </c>
      <c r="R363">
        <v>4.5</v>
      </c>
      <c r="S363">
        <v>7.2</v>
      </c>
      <c r="T363" t="s">
        <v>46</v>
      </c>
      <c r="U363">
        <v>1</v>
      </c>
      <c r="V363">
        <v>5</v>
      </c>
    </row>
    <row r="364" spans="1:22" x14ac:dyDescent="0.3">
      <c r="A364" t="s">
        <v>598</v>
      </c>
      <c r="B364" t="s">
        <v>204</v>
      </c>
      <c r="C364" t="s">
        <v>40</v>
      </c>
      <c r="D364" t="s">
        <v>25</v>
      </c>
      <c r="E364" t="s">
        <v>50</v>
      </c>
      <c r="F364" t="s">
        <v>42</v>
      </c>
      <c r="G364" t="s">
        <v>36</v>
      </c>
      <c r="H364" t="s">
        <v>29</v>
      </c>
      <c r="I364" t="s">
        <v>68</v>
      </c>
      <c r="J364">
        <v>89</v>
      </c>
      <c r="K364">
        <v>2</v>
      </c>
      <c r="L364">
        <v>2</v>
      </c>
      <c r="M364">
        <v>114</v>
      </c>
      <c r="N364">
        <v>111</v>
      </c>
      <c r="O364">
        <v>97.4</v>
      </c>
      <c r="P364">
        <v>95.4</v>
      </c>
      <c r="Q364">
        <v>91.4</v>
      </c>
      <c r="R364">
        <v>4.8</v>
      </c>
      <c r="S364">
        <v>7.3</v>
      </c>
      <c r="T364" t="s">
        <v>46</v>
      </c>
      <c r="U364">
        <v>0</v>
      </c>
      <c r="V364">
        <v>4</v>
      </c>
    </row>
    <row r="365" spans="1:22" x14ac:dyDescent="0.3">
      <c r="A365" t="s">
        <v>599</v>
      </c>
      <c r="B365" t="s">
        <v>88</v>
      </c>
      <c r="C365" t="s">
        <v>40</v>
      </c>
      <c r="D365" t="s">
        <v>49</v>
      </c>
      <c r="E365" t="s">
        <v>26</v>
      </c>
      <c r="F365" t="s">
        <v>54</v>
      </c>
      <c r="G365" t="s">
        <v>36</v>
      </c>
      <c r="H365" t="s">
        <v>29</v>
      </c>
      <c r="I365" t="s">
        <v>51</v>
      </c>
      <c r="J365">
        <v>82</v>
      </c>
      <c r="K365">
        <v>4</v>
      </c>
      <c r="L365">
        <v>13</v>
      </c>
      <c r="M365">
        <v>139</v>
      </c>
      <c r="N365">
        <v>134</v>
      </c>
      <c r="O365">
        <v>96.4</v>
      </c>
      <c r="P365">
        <v>98.4</v>
      </c>
      <c r="Q365">
        <v>102.4</v>
      </c>
      <c r="R365">
        <v>5</v>
      </c>
      <c r="S365">
        <v>7.9</v>
      </c>
      <c r="T365" t="s">
        <v>31</v>
      </c>
      <c r="U365">
        <v>5</v>
      </c>
      <c r="V365">
        <v>6</v>
      </c>
    </row>
    <row r="366" spans="1:22" x14ac:dyDescent="0.3">
      <c r="A366" t="s">
        <v>600</v>
      </c>
      <c r="B366" t="s">
        <v>121</v>
      </c>
      <c r="C366" t="s">
        <v>40</v>
      </c>
      <c r="D366" t="s">
        <v>25</v>
      </c>
      <c r="E366" t="s">
        <v>34</v>
      </c>
      <c r="F366" t="s">
        <v>91</v>
      </c>
      <c r="G366" t="s">
        <v>43</v>
      </c>
      <c r="H366" t="s">
        <v>44</v>
      </c>
      <c r="I366" t="s">
        <v>82</v>
      </c>
      <c r="J366">
        <v>94</v>
      </c>
      <c r="K366">
        <v>1</v>
      </c>
      <c r="L366">
        <v>19</v>
      </c>
      <c r="M366">
        <v>116</v>
      </c>
      <c r="N366">
        <v>112</v>
      </c>
      <c r="O366">
        <v>96.6</v>
      </c>
      <c r="P366">
        <v>100</v>
      </c>
      <c r="Q366">
        <v>88.6</v>
      </c>
      <c r="R366">
        <v>5</v>
      </c>
      <c r="S366">
        <v>7.9</v>
      </c>
      <c r="T366" t="s">
        <v>46</v>
      </c>
      <c r="U366">
        <v>2</v>
      </c>
      <c r="V366">
        <v>1</v>
      </c>
    </row>
    <row r="367" spans="1:22" x14ac:dyDescent="0.3">
      <c r="A367" t="s">
        <v>601</v>
      </c>
      <c r="B367" t="s">
        <v>602</v>
      </c>
      <c r="C367" t="s">
        <v>24</v>
      </c>
      <c r="D367" t="s">
        <v>25</v>
      </c>
      <c r="E367" t="s">
        <v>50</v>
      </c>
      <c r="F367" t="s">
        <v>35</v>
      </c>
      <c r="G367" t="s">
        <v>76</v>
      </c>
      <c r="H367" t="s">
        <v>29</v>
      </c>
      <c r="I367" t="s">
        <v>51</v>
      </c>
      <c r="J367">
        <v>98</v>
      </c>
      <c r="K367">
        <v>0</v>
      </c>
      <c r="L367">
        <v>17</v>
      </c>
      <c r="M367">
        <v>155</v>
      </c>
      <c r="N367">
        <v>136</v>
      </c>
      <c r="O367">
        <v>87.7</v>
      </c>
      <c r="P367">
        <v>87.7</v>
      </c>
      <c r="Q367">
        <v>87.7</v>
      </c>
      <c r="R367">
        <v>4.0999999999999996</v>
      </c>
      <c r="S367">
        <v>8.4</v>
      </c>
      <c r="T367" t="s">
        <v>31</v>
      </c>
      <c r="U367">
        <v>5</v>
      </c>
      <c r="V367">
        <v>10</v>
      </c>
    </row>
    <row r="368" spans="1:22" x14ac:dyDescent="0.3">
      <c r="A368" t="s">
        <v>603</v>
      </c>
      <c r="B368" t="s">
        <v>171</v>
      </c>
      <c r="C368" t="s">
        <v>40</v>
      </c>
      <c r="D368" t="s">
        <v>49</v>
      </c>
      <c r="E368" t="s">
        <v>67</v>
      </c>
      <c r="F368" t="s">
        <v>72</v>
      </c>
      <c r="G368" t="s">
        <v>43</v>
      </c>
      <c r="H368" t="s">
        <v>44</v>
      </c>
      <c r="I368" t="s">
        <v>37</v>
      </c>
      <c r="J368">
        <v>91</v>
      </c>
      <c r="K368">
        <v>2</v>
      </c>
      <c r="L368">
        <v>23</v>
      </c>
      <c r="M368">
        <v>156</v>
      </c>
      <c r="N368">
        <v>136</v>
      </c>
      <c r="O368">
        <v>87.2</v>
      </c>
      <c r="P368">
        <v>91.2</v>
      </c>
      <c r="Q368">
        <v>84.2</v>
      </c>
      <c r="R368">
        <v>4.4000000000000004</v>
      </c>
      <c r="S368">
        <v>8</v>
      </c>
      <c r="T368" t="s">
        <v>31</v>
      </c>
      <c r="U368">
        <v>4</v>
      </c>
      <c r="V368">
        <v>4</v>
      </c>
    </row>
    <row r="369" spans="1:22" x14ac:dyDescent="0.3">
      <c r="A369" t="s">
        <v>604</v>
      </c>
      <c r="B369" t="s">
        <v>291</v>
      </c>
      <c r="C369" t="s">
        <v>24</v>
      </c>
      <c r="D369" t="s">
        <v>25</v>
      </c>
      <c r="E369" t="s">
        <v>26</v>
      </c>
      <c r="F369" t="s">
        <v>35</v>
      </c>
      <c r="G369" t="s">
        <v>28</v>
      </c>
      <c r="H369" t="s">
        <v>29</v>
      </c>
      <c r="I369" t="s">
        <v>45</v>
      </c>
      <c r="J369">
        <v>95</v>
      </c>
      <c r="K369">
        <v>1</v>
      </c>
      <c r="L369">
        <v>6</v>
      </c>
      <c r="M369">
        <v>179</v>
      </c>
      <c r="N369">
        <v>179</v>
      </c>
      <c r="O369">
        <v>100</v>
      </c>
      <c r="P369">
        <v>98</v>
      </c>
      <c r="Q369">
        <v>103</v>
      </c>
      <c r="R369">
        <v>4.9000000000000004</v>
      </c>
      <c r="S369">
        <v>6.9</v>
      </c>
      <c r="T369" t="s">
        <v>46</v>
      </c>
      <c r="U369">
        <v>2</v>
      </c>
      <c r="V369">
        <v>7</v>
      </c>
    </row>
    <row r="370" spans="1:22" x14ac:dyDescent="0.3">
      <c r="A370" t="s">
        <v>605</v>
      </c>
      <c r="B370" t="s">
        <v>354</v>
      </c>
      <c r="C370" t="s">
        <v>40</v>
      </c>
      <c r="D370" t="s">
        <v>25</v>
      </c>
      <c r="E370" t="s">
        <v>71</v>
      </c>
      <c r="F370" t="s">
        <v>54</v>
      </c>
      <c r="G370" t="s">
        <v>55</v>
      </c>
      <c r="H370" t="s">
        <v>29</v>
      </c>
      <c r="I370" t="s">
        <v>60</v>
      </c>
      <c r="J370">
        <v>100</v>
      </c>
      <c r="K370">
        <v>0</v>
      </c>
      <c r="L370">
        <v>11</v>
      </c>
      <c r="M370">
        <v>166</v>
      </c>
      <c r="N370">
        <v>136</v>
      </c>
      <c r="O370">
        <v>81.900000000000006</v>
      </c>
      <c r="P370">
        <v>85.9</v>
      </c>
      <c r="Q370">
        <v>82.9</v>
      </c>
      <c r="R370">
        <v>3.9</v>
      </c>
      <c r="S370">
        <v>8.6</v>
      </c>
      <c r="T370" t="s">
        <v>31</v>
      </c>
      <c r="U370">
        <v>7</v>
      </c>
      <c r="V370">
        <v>1</v>
      </c>
    </row>
    <row r="371" spans="1:22" x14ac:dyDescent="0.3">
      <c r="A371" t="s">
        <v>606</v>
      </c>
      <c r="B371" t="s">
        <v>569</v>
      </c>
      <c r="C371" t="s">
        <v>24</v>
      </c>
      <c r="D371" t="s">
        <v>49</v>
      </c>
      <c r="E371" t="s">
        <v>67</v>
      </c>
      <c r="F371" t="s">
        <v>91</v>
      </c>
      <c r="G371" t="s">
        <v>55</v>
      </c>
      <c r="H371" t="s">
        <v>56</v>
      </c>
      <c r="I371" t="s">
        <v>68</v>
      </c>
      <c r="J371">
        <v>100</v>
      </c>
      <c r="K371">
        <v>0</v>
      </c>
      <c r="L371">
        <v>21</v>
      </c>
      <c r="M371">
        <v>174</v>
      </c>
      <c r="N371">
        <v>150</v>
      </c>
      <c r="O371">
        <v>86.2</v>
      </c>
      <c r="P371">
        <v>84.2</v>
      </c>
      <c r="Q371">
        <v>87.2</v>
      </c>
      <c r="R371">
        <v>3.9</v>
      </c>
      <c r="S371">
        <v>8.4</v>
      </c>
      <c r="T371" t="s">
        <v>31</v>
      </c>
      <c r="U371">
        <v>4</v>
      </c>
      <c r="V371">
        <v>2</v>
      </c>
    </row>
    <row r="372" spans="1:22" x14ac:dyDescent="0.3">
      <c r="A372" t="s">
        <v>607</v>
      </c>
      <c r="B372" t="s">
        <v>510</v>
      </c>
      <c r="C372" t="s">
        <v>40</v>
      </c>
      <c r="D372" t="s">
        <v>49</v>
      </c>
      <c r="E372" t="s">
        <v>34</v>
      </c>
      <c r="F372" t="s">
        <v>27</v>
      </c>
      <c r="G372" t="s">
        <v>76</v>
      </c>
      <c r="H372" t="s">
        <v>44</v>
      </c>
      <c r="I372" t="s">
        <v>73</v>
      </c>
      <c r="J372">
        <v>94</v>
      </c>
      <c r="K372">
        <v>1</v>
      </c>
      <c r="L372">
        <v>8</v>
      </c>
      <c r="M372">
        <v>178</v>
      </c>
      <c r="N372">
        <v>164</v>
      </c>
      <c r="O372">
        <v>92.1</v>
      </c>
      <c r="P372">
        <v>92.1</v>
      </c>
      <c r="Q372">
        <v>94.1</v>
      </c>
      <c r="R372">
        <v>4.5</v>
      </c>
      <c r="S372">
        <v>8.1999999999999993</v>
      </c>
      <c r="T372" t="s">
        <v>46</v>
      </c>
      <c r="U372">
        <v>1</v>
      </c>
      <c r="V372">
        <v>9</v>
      </c>
    </row>
    <row r="373" spans="1:22" x14ac:dyDescent="0.3">
      <c r="A373" t="s">
        <v>608</v>
      </c>
      <c r="B373" t="s">
        <v>609</v>
      </c>
      <c r="C373" t="s">
        <v>40</v>
      </c>
      <c r="D373" t="s">
        <v>49</v>
      </c>
      <c r="E373" t="s">
        <v>34</v>
      </c>
      <c r="F373" t="s">
        <v>42</v>
      </c>
      <c r="G373" t="s">
        <v>43</v>
      </c>
      <c r="H373" t="s">
        <v>29</v>
      </c>
      <c r="I373" t="s">
        <v>82</v>
      </c>
      <c r="J373">
        <v>89</v>
      </c>
      <c r="K373">
        <v>2</v>
      </c>
      <c r="L373">
        <v>8</v>
      </c>
      <c r="M373">
        <v>114</v>
      </c>
      <c r="N373">
        <v>108</v>
      </c>
      <c r="O373">
        <v>94.7</v>
      </c>
      <c r="P373">
        <v>98.7</v>
      </c>
      <c r="Q373">
        <v>88.7</v>
      </c>
      <c r="R373">
        <v>5</v>
      </c>
      <c r="S373">
        <v>8.1999999999999993</v>
      </c>
      <c r="T373" t="s">
        <v>46</v>
      </c>
      <c r="U373">
        <v>0</v>
      </c>
      <c r="V373">
        <v>5</v>
      </c>
    </row>
    <row r="374" spans="1:22" x14ac:dyDescent="0.3">
      <c r="A374" t="s">
        <v>610</v>
      </c>
      <c r="B374" t="s">
        <v>457</v>
      </c>
      <c r="C374" t="s">
        <v>24</v>
      </c>
      <c r="D374" t="s">
        <v>25</v>
      </c>
      <c r="E374" t="s">
        <v>41</v>
      </c>
      <c r="F374" t="s">
        <v>27</v>
      </c>
      <c r="G374" t="s">
        <v>63</v>
      </c>
      <c r="H374" t="s">
        <v>56</v>
      </c>
      <c r="I374" t="s">
        <v>51</v>
      </c>
      <c r="J374">
        <v>82</v>
      </c>
      <c r="K374">
        <v>4</v>
      </c>
      <c r="L374">
        <v>21</v>
      </c>
      <c r="M374">
        <v>133</v>
      </c>
      <c r="N374">
        <v>118</v>
      </c>
      <c r="O374">
        <v>88.7</v>
      </c>
      <c r="P374">
        <v>88.7</v>
      </c>
      <c r="Q374">
        <v>91.7</v>
      </c>
      <c r="R374">
        <v>4.2</v>
      </c>
      <c r="S374">
        <v>8.3000000000000007</v>
      </c>
      <c r="T374" t="s">
        <v>31</v>
      </c>
      <c r="U374">
        <v>6</v>
      </c>
      <c r="V374">
        <v>0</v>
      </c>
    </row>
    <row r="375" spans="1:22" x14ac:dyDescent="0.3">
      <c r="A375" t="s">
        <v>611</v>
      </c>
      <c r="B375" t="s">
        <v>590</v>
      </c>
      <c r="C375" t="s">
        <v>24</v>
      </c>
      <c r="D375" t="s">
        <v>25</v>
      </c>
      <c r="E375" t="s">
        <v>26</v>
      </c>
      <c r="F375" t="s">
        <v>91</v>
      </c>
      <c r="G375" t="s">
        <v>28</v>
      </c>
      <c r="H375" t="s">
        <v>56</v>
      </c>
      <c r="I375" t="s">
        <v>37</v>
      </c>
      <c r="J375">
        <v>99</v>
      </c>
      <c r="K375">
        <v>0</v>
      </c>
      <c r="L375">
        <v>12</v>
      </c>
      <c r="M375">
        <v>176</v>
      </c>
      <c r="N375">
        <v>146</v>
      </c>
      <c r="O375">
        <v>83</v>
      </c>
      <c r="P375">
        <v>80</v>
      </c>
      <c r="Q375">
        <v>84</v>
      </c>
      <c r="R375">
        <v>3.4</v>
      </c>
      <c r="S375">
        <v>9</v>
      </c>
      <c r="T375" t="s">
        <v>31</v>
      </c>
      <c r="U375">
        <v>3</v>
      </c>
      <c r="V375">
        <v>6</v>
      </c>
    </row>
    <row r="376" spans="1:22" x14ac:dyDescent="0.3">
      <c r="A376" t="s">
        <v>612</v>
      </c>
      <c r="B376" t="s">
        <v>234</v>
      </c>
      <c r="C376" t="s">
        <v>40</v>
      </c>
      <c r="D376" t="s">
        <v>25</v>
      </c>
      <c r="E376" t="s">
        <v>26</v>
      </c>
      <c r="F376" t="s">
        <v>35</v>
      </c>
      <c r="G376" t="s">
        <v>55</v>
      </c>
      <c r="H376" t="s">
        <v>29</v>
      </c>
      <c r="I376" t="s">
        <v>73</v>
      </c>
      <c r="J376">
        <v>88</v>
      </c>
      <c r="K376">
        <v>3</v>
      </c>
      <c r="L376">
        <v>9</v>
      </c>
      <c r="M376">
        <v>95</v>
      </c>
      <c r="N376">
        <v>82</v>
      </c>
      <c r="O376">
        <v>86.3</v>
      </c>
      <c r="P376">
        <v>89.3</v>
      </c>
      <c r="Q376">
        <v>91.3</v>
      </c>
      <c r="R376">
        <v>4.3</v>
      </c>
      <c r="S376">
        <v>9</v>
      </c>
      <c r="T376" t="s">
        <v>31</v>
      </c>
      <c r="U376">
        <v>4</v>
      </c>
      <c r="V376">
        <v>12</v>
      </c>
    </row>
    <row r="377" spans="1:22" x14ac:dyDescent="0.3">
      <c r="A377" t="s">
        <v>613</v>
      </c>
      <c r="B377" t="s">
        <v>252</v>
      </c>
      <c r="C377" t="s">
        <v>40</v>
      </c>
      <c r="D377" t="s">
        <v>25</v>
      </c>
      <c r="E377" t="s">
        <v>34</v>
      </c>
      <c r="F377" t="s">
        <v>42</v>
      </c>
      <c r="G377" t="s">
        <v>36</v>
      </c>
      <c r="H377" t="s">
        <v>56</v>
      </c>
      <c r="I377" t="s">
        <v>30</v>
      </c>
      <c r="J377">
        <v>94</v>
      </c>
      <c r="K377">
        <v>1</v>
      </c>
      <c r="L377">
        <v>0</v>
      </c>
      <c r="M377">
        <v>98</v>
      </c>
      <c r="N377">
        <v>97</v>
      </c>
      <c r="O377">
        <v>99</v>
      </c>
      <c r="P377">
        <v>100</v>
      </c>
      <c r="Q377">
        <v>93</v>
      </c>
      <c r="R377">
        <v>5</v>
      </c>
      <c r="S377">
        <v>7.2</v>
      </c>
      <c r="T377" t="s">
        <v>46</v>
      </c>
      <c r="U377">
        <v>0</v>
      </c>
      <c r="V377">
        <v>10</v>
      </c>
    </row>
    <row r="378" spans="1:22" x14ac:dyDescent="0.3">
      <c r="A378" t="s">
        <v>614</v>
      </c>
      <c r="B378" t="s">
        <v>507</v>
      </c>
      <c r="C378" t="s">
        <v>24</v>
      </c>
      <c r="D378" t="s">
        <v>49</v>
      </c>
      <c r="E378" t="s">
        <v>34</v>
      </c>
      <c r="F378" t="s">
        <v>54</v>
      </c>
      <c r="G378" t="s">
        <v>76</v>
      </c>
      <c r="H378" t="s">
        <v>44</v>
      </c>
      <c r="I378" t="s">
        <v>45</v>
      </c>
      <c r="J378">
        <v>84</v>
      </c>
      <c r="K378">
        <v>4</v>
      </c>
      <c r="L378">
        <v>1</v>
      </c>
      <c r="M378">
        <v>121</v>
      </c>
      <c r="N378">
        <v>117</v>
      </c>
      <c r="O378">
        <v>96.7</v>
      </c>
      <c r="P378">
        <v>99.7</v>
      </c>
      <c r="Q378">
        <v>103.7</v>
      </c>
      <c r="R378">
        <v>5</v>
      </c>
      <c r="S378">
        <v>7.3</v>
      </c>
      <c r="T378" t="s">
        <v>31</v>
      </c>
      <c r="U378">
        <v>7</v>
      </c>
      <c r="V378">
        <v>7</v>
      </c>
    </row>
    <row r="379" spans="1:22" x14ac:dyDescent="0.3">
      <c r="A379" t="s">
        <v>615</v>
      </c>
      <c r="B379" t="s">
        <v>123</v>
      </c>
      <c r="C379" t="s">
        <v>40</v>
      </c>
      <c r="D379" t="s">
        <v>49</v>
      </c>
      <c r="E379" t="s">
        <v>71</v>
      </c>
      <c r="F379" t="s">
        <v>72</v>
      </c>
      <c r="G379" t="s">
        <v>76</v>
      </c>
      <c r="H379" t="s">
        <v>56</v>
      </c>
      <c r="I379" t="s">
        <v>82</v>
      </c>
      <c r="J379">
        <v>94</v>
      </c>
      <c r="K379">
        <v>1</v>
      </c>
      <c r="L379">
        <v>13</v>
      </c>
      <c r="M379">
        <v>160</v>
      </c>
      <c r="N379">
        <v>146</v>
      </c>
      <c r="O379">
        <v>91.2</v>
      </c>
      <c r="P379">
        <v>94.2</v>
      </c>
      <c r="Q379">
        <v>98.2</v>
      </c>
      <c r="R379">
        <v>4.5</v>
      </c>
      <c r="S379">
        <v>8.3000000000000007</v>
      </c>
      <c r="T379" t="s">
        <v>46</v>
      </c>
      <c r="U379">
        <v>0</v>
      </c>
      <c r="V379">
        <v>3</v>
      </c>
    </row>
    <row r="380" spans="1:22" x14ac:dyDescent="0.3">
      <c r="A380" t="s">
        <v>616</v>
      </c>
      <c r="B380" t="s">
        <v>33</v>
      </c>
      <c r="C380" t="s">
        <v>24</v>
      </c>
      <c r="D380" t="s">
        <v>25</v>
      </c>
      <c r="E380" t="s">
        <v>67</v>
      </c>
      <c r="F380" t="s">
        <v>54</v>
      </c>
      <c r="G380" t="s">
        <v>28</v>
      </c>
      <c r="H380" t="s">
        <v>29</v>
      </c>
      <c r="I380" t="s">
        <v>45</v>
      </c>
      <c r="J380">
        <v>92</v>
      </c>
      <c r="K380">
        <v>2</v>
      </c>
      <c r="L380">
        <v>9</v>
      </c>
      <c r="M380">
        <v>176</v>
      </c>
      <c r="N380">
        <v>164</v>
      </c>
      <c r="O380">
        <v>93.2</v>
      </c>
      <c r="P380">
        <v>95.2</v>
      </c>
      <c r="Q380">
        <v>89.2</v>
      </c>
      <c r="R380">
        <v>4.7</v>
      </c>
      <c r="S380">
        <v>7.4</v>
      </c>
      <c r="T380" t="s">
        <v>46</v>
      </c>
      <c r="U380">
        <v>2</v>
      </c>
      <c r="V380">
        <v>12</v>
      </c>
    </row>
    <row r="381" spans="1:22" x14ac:dyDescent="0.3">
      <c r="A381" t="s">
        <v>617</v>
      </c>
      <c r="B381" t="s">
        <v>226</v>
      </c>
      <c r="C381" t="s">
        <v>24</v>
      </c>
      <c r="D381" t="s">
        <v>25</v>
      </c>
      <c r="E381" t="s">
        <v>41</v>
      </c>
      <c r="F381" t="s">
        <v>27</v>
      </c>
      <c r="G381" t="s">
        <v>55</v>
      </c>
      <c r="H381" t="s">
        <v>56</v>
      </c>
      <c r="I381" t="s">
        <v>79</v>
      </c>
      <c r="J381">
        <v>84</v>
      </c>
      <c r="K381">
        <v>4</v>
      </c>
      <c r="L381">
        <v>11</v>
      </c>
      <c r="M381">
        <v>150</v>
      </c>
      <c r="N381">
        <v>144</v>
      </c>
      <c r="O381">
        <v>96</v>
      </c>
      <c r="P381">
        <v>100</v>
      </c>
      <c r="Q381">
        <v>99</v>
      </c>
      <c r="R381">
        <v>5</v>
      </c>
      <c r="S381">
        <v>7.8</v>
      </c>
      <c r="T381" t="s">
        <v>46</v>
      </c>
      <c r="U381">
        <v>2</v>
      </c>
      <c r="V381">
        <v>12</v>
      </c>
    </row>
    <row r="382" spans="1:22" x14ac:dyDescent="0.3">
      <c r="A382" t="s">
        <v>618</v>
      </c>
      <c r="B382" t="s">
        <v>356</v>
      </c>
      <c r="C382" t="s">
        <v>24</v>
      </c>
      <c r="D382" t="s">
        <v>49</v>
      </c>
      <c r="E382" t="s">
        <v>50</v>
      </c>
      <c r="F382" t="s">
        <v>27</v>
      </c>
      <c r="G382" t="s">
        <v>76</v>
      </c>
      <c r="H382" t="s">
        <v>29</v>
      </c>
      <c r="I382" t="s">
        <v>68</v>
      </c>
      <c r="J382">
        <v>82</v>
      </c>
      <c r="K382">
        <v>4</v>
      </c>
      <c r="L382">
        <v>7</v>
      </c>
      <c r="M382">
        <v>179</v>
      </c>
      <c r="N382">
        <v>149</v>
      </c>
      <c r="O382">
        <v>83.2</v>
      </c>
      <c r="P382">
        <v>79.2</v>
      </c>
      <c r="Q382">
        <v>76.2</v>
      </c>
      <c r="R382">
        <v>3.3</v>
      </c>
      <c r="S382">
        <v>8.6999999999999993</v>
      </c>
      <c r="T382" t="s">
        <v>31</v>
      </c>
      <c r="U382">
        <v>7</v>
      </c>
      <c r="V382">
        <v>3</v>
      </c>
    </row>
    <row r="383" spans="1:22" x14ac:dyDescent="0.3">
      <c r="A383" t="s">
        <v>619</v>
      </c>
      <c r="B383" t="s">
        <v>210</v>
      </c>
      <c r="C383" t="s">
        <v>40</v>
      </c>
      <c r="D383" t="s">
        <v>49</v>
      </c>
      <c r="E383" t="s">
        <v>41</v>
      </c>
      <c r="F383" t="s">
        <v>42</v>
      </c>
      <c r="G383" t="s">
        <v>36</v>
      </c>
      <c r="H383" t="s">
        <v>44</v>
      </c>
      <c r="I383" t="s">
        <v>79</v>
      </c>
      <c r="J383">
        <v>86</v>
      </c>
      <c r="K383">
        <v>3</v>
      </c>
      <c r="L383">
        <v>12</v>
      </c>
      <c r="M383">
        <v>164</v>
      </c>
      <c r="N383">
        <v>135</v>
      </c>
      <c r="O383">
        <v>82.3</v>
      </c>
      <c r="P383">
        <v>86.3</v>
      </c>
      <c r="Q383">
        <v>86.3</v>
      </c>
      <c r="R383">
        <v>4</v>
      </c>
      <c r="S383">
        <v>8.5</v>
      </c>
      <c r="T383" t="s">
        <v>31</v>
      </c>
      <c r="U383">
        <v>6</v>
      </c>
      <c r="V383">
        <v>5</v>
      </c>
    </row>
    <row r="384" spans="1:22" x14ac:dyDescent="0.3">
      <c r="A384" t="s">
        <v>620</v>
      </c>
      <c r="B384" t="s">
        <v>48</v>
      </c>
      <c r="C384" t="s">
        <v>40</v>
      </c>
      <c r="D384" t="s">
        <v>25</v>
      </c>
      <c r="E384" t="s">
        <v>26</v>
      </c>
      <c r="F384" t="s">
        <v>72</v>
      </c>
      <c r="G384" t="s">
        <v>63</v>
      </c>
      <c r="H384" t="s">
        <v>44</v>
      </c>
      <c r="I384" t="s">
        <v>37</v>
      </c>
      <c r="J384">
        <v>87</v>
      </c>
      <c r="K384">
        <v>3</v>
      </c>
      <c r="L384">
        <v>8</v>
      </c>
      <c r="M384">
        <v>113</v>
      </c>
      <c r="N384">
        <v>105</v>
      </c>
      <c r="O384">
        <v>92.9</v>
      </c>
      <c r="P384">
        <v>95.9</v>
      </c>
      <c r="Q384">
        <v>89.9</v>
      </c>
      <c r="R384">
        <v>4.9000000000000004</v>
      </c>
      <c r="S384">
        <v>8.1999999999999993</v>
      </c>
      <c r="T384" t="s">
        <v>46</v>
      </c>
      <c r="U384">
        <v>1</v>
      </c>
      <c r="V384">
        <v>9</v>
      </c>
    </row>
    <row r="385" spans="1:22" x14ac:dyDescent="0.3">
      <c r="A385" t="s">
        <v>621</v>
      </c>
      <c r="B385" t="s">
        <v>507</v>
      </c>
      <c r="C385" t="s">
        <v>40</v>
      </c>
      <c r="D385" t="s">
        <v>25</v>
      </c>
      <c r="E385" t="s">
        <v>34</v>
      </c>
      <c r="F385" t="s">
        <v>27</v>
      </c>
      <c r="G385" t="s">
        <v>28</v>
      </c>
      <c r="H385" t="s">
        <v>44</v>
      </c>
      <c r="I385" t="s">
        <v>92</v>
      </c>
      <c r="J385">
        <v>97</v>
      </c>
      <c r="K385">
        <v>0</v>
      </c>
      <c r="L385">
        <v>24</v>
      </c>
      <c r="M385">
        <v>142</v>
      </c>
      <c r="N385">
        <v>121</v>
      </c>
      <c r="O385">
        <v>85.2</v>
      </c>
      <c r="P385">
        <v>89.2</v>
      </c>
      <c r="Q385">
        <v>87.2</v>
      </c>
      <c r="R385">
        <v>4.3</v>
      </c>
      <c r="S385">
        <v>8.4</v>
      </c>
      <c r="T385" t="s">
        <v>31</v>
      </c>
      <c r="U385">
        <v>4</v>
      </c>
      <c r="V385">
        <v>4</v>
      </c>
    </row>
    <row r="386" spans="1:22" x14ac:dyDescent="0.3">
      <c r="A386" t="s">
        <v>622</v>
      </c>
      <c r="B386" t="s">
        <v>395</v>
      </c>
      <c r="C386" t="s">
        <v>24</v>
      </c>
      <c r="D386" t="s">
        <v>49</v>
      </c>
      <c r="E386" t="s">
        <v>34</v>
      </c>
      <c r="F386" t="s">
        <v>42</v>
      </c>
      <c r="G386" t="s">
        <v>55</v>
      </c>
      <c r="H386" t="s">
        <v>29</v>
      </c>
      <c r="I386" t="s">
        <v>79</v>
      </c>
      <c r="J386">
        <v>86</v>
      </c>
      <c r="K386">
        <v>3</v>
      </c>
      <c r="L386">
        <v>3</v>
      </c>
      <c r="M386">
        <v>167</v>
      </c>
      <c r="N386">
        <v>150</v>
      </c>
      <c r="O386">
        <v>89.8</v>
      </c>
      <c r="P386">
        <v>88.8</v>
      </c>
      <c r="Q386">
        <v>89.8</v>
      </c>
      <c r="R386">
        <v>4.3</v>
      </c>
      <c r="S386">
        <v>8.6</v>
      </c>
      <c r="T386" t="s">
        <v>31</v>
      </c>
      <c r="U386">
        <v>5</v>
      </c>
      <c r="V386">
        <v>10</v>
      </c>
    </row>
    <row r="387" spans="1:22" x14ac:dyDescent="0.3">
      <c r="A387" t="s">
        <v>623</v>
      </c>
      <c r="B387" t="s">
        <v>401</v>
      </c>
      <c r="C387" t="s">
        <v>40</v>
      </c>
      <c r="D387" t="s">
        <v>25</v>
      </c>
      <c r="E387" t="s">
        <v>71</v>
      </c>
      <c r="F387" t="s">
        <v>72</v>
      </c>
      <c r="G387" t="s">
        <v>55</v>
      </c>
      <c r="H387" t="s">
        <v>29</v>
      </c>
      <c r="I387" t="s">
        <v>68</v>
      </c>
      <c r="J387">
        <v>88</v>
      </c>
      <c r="K387">
        <v>3</v>
      </c>
      <c r="L387">
        <v>2</v>
      </c>
      <c r="M387">
        <v>120</v>
      </c>
      <c r="N387">
        <v>98</v>
      </c>
      <c r="O387">
        <v>81.7</v>
      </c>
      <c r="P387">
        <v>83.7</v>
      </c>
      <c r="Q387">
        <v>88.7</v>
      </c>
      <c r="R387">
        <v>3.7</v>
      </c>
      <c r="S387">
        <v>9.1</v>
      </c>
      <c r="T387" t="s">
        <v>31</v>
      </c>
      <c r="U387">
        <v>7</v>
      </c>
      <c r="V387">
        <v>3</v>
      </c>
    </row>
    <row r="388" spans="1:22" x14ac:dyDescent="0.3">
      <c r="A388" t="s">
        <v>624</v>
      </c>
      <c r="B388" t="s">
        <v>115</v>
      </c>
      <c r="C388" t="s">
        <v>24</v>
      </c>
      <c r="D388" t="s">
        <v>25</v>
      </c>
      <c r="E388" t="s">
        <v>26</v>
      </c>
      <c r="F388" t="s">
        <v>91</v>
      </c>
      <c r="G388" t="s">
        <v>43</v>
      </c>
      <c r="H388" t="s">
        <v>44</v>
      </c>
      <c r="I388" t="s">
        <v>73</v>
      </c>
      <c r="J388">
        <v>99</v>
      </c>
      <c r="K388">
        <v>0</v>
      </c>
      <c r="L388">
        <v>8</v>
      </c>
      <c r="M388">
        <v>106</v>
      </c>
      <c r="N388">
        <v>103</v>
      </c>
      <c r="O388">
        <v>97.2</v>
      </c>
      <c r="P388">
        <v>99.2</v>
      </c>
      <c r="Q388">
        <v>92.2</v>
      </c>
      <c r="R388">
        <v>5</v>
      </c>
      <c r="S388">
        <v>7.3</v>
      </c>
      <c r="T388" t="s">
        <v>46</v>
      </c>
      <c r="U388">
        <v>0</v>
      </c>
      <c r="V388">
        <v>1</v>
      </c>
    </row>
    <row r="389" spans="1:22" x14ac:dyDescent="0.3">
      <c r="A389" t="s">
        <v>625</v>
      </c>
      <c r="B389" t="s">
        <v>495</v>
      </c>
      <c r="C389" t="s">
        <v>24</v>
      </c>
      <c r="D389" t="s">
        <v>25</v>
      </c>
      <c r="E389" t="s">
        <v>71</v>
      </c>
      <c r="F389" t="s">
        <v>54</v>
      </c>
      <c r="G389" t="s">
        <v>28</v>
      </c>
      <c r="H389" t="s">
        <v>56</v>
      </c>
      <c r="I389" t="s">
        <v>37</v>
      </c>
      <c r="J389">
        <v>88</v>
      </c>
      <c r="K389">
        <v>3</v>
      </c>
      <c r="L389">
        <v>16</v>
      </c>
      <c r="M389">
        <v>173</v>
      </c>
      <c r="N389">
        <v>152</v>
      </c>
      <c r="O389">
        <v>87.9</v>
      </c>
      <c r="P389">
        <v>90.9</v>
      </c>
      <c r="Q389">
        <v>84.9</v>
      </c>
      <c r="R389">
        <v>4.4000000000000004</v>
      </c>
      <c r="S389">
        <v>8.8000000000000007</v>
      </c>
      <c r="T389" t="s">
        <v>31</v>
      </c>
      <c r="U389">
        <v>4</v>
      </c>
      <c r="V389">
        <v>12</v>
      </c>
    </row>
    <row r="390" spans="1:22" x14ac:dyDescent="0.3">
      <c r="A390" t="s">
        <v>626</v>
      </c>
      <c r="B390" t="s">
        <v>439</v>
      </c>
      <c r="C390" t="s">
        <v>24</v>
      </c>
      <c r="D390" t="s">
        <v>49</v>
      </c>
      <c r="E390" t="s">
        <v>50</v>
      </c>
      <c r="F390" t="s">
        <v>42</v>
      </c>
      <c r="G390" t="s">
        <v>36</v>
      </c>
      <c r="H390" t="s">
        <v>56</v>
      </c>
      <c r="I390" t="s">
        <v>45</v>
      </c>
      <c r="J390">
        <v>93</v>
      </c>
      <c r="K390">
        <v>1</v>
      </c>
      <c r="L390">
        <v>20</v>
      </c>
      <c r="M390">
        <v>142</v>
      </c>
      <c r="N390">
        <v>136</v>
      </c>
      <c r="O390">
        <v>95.8</v>
      </c>
      <c r="P390">
        <v>99.8</v>
      </c>
      <c r="Q390">
        <v>89.8</v>
      </c>
      <c r="R390">
        <v>5</v>
      </c>
      <c r="S390">
        <v>7.6</v>
      </c>
      <c r="T390" t="s">
        <v>46</v>
      </c>
      <c r="U390">
        <v>0</v>
      </c>
      <c r="V390">
        <v>2</v>
      </c>
    </row>
    <row r="391" spans="1:22" x14ac:dyDescent="0.3">
      <c r="A391" t="s">
        <v>627</v>
      </c>
      <c r="B391" t="s">
        <v>111</v>
      </c>
      <c r="C391" t="s">
        <v>24</v>
      </c>
      <c r="D391" t="s">
        <v>49</v>
      </c>
      <c r="E391" t="s">
        <v>41</v>
      </c>
      <c r="F391" t="s">
        <v>35</v>
      </c>
      <c r="G391" t="s">
        <v>76</v>
      </c>
      <c r="H391" t="s">
        <v>29</v>
      </c>
      <c r="I391" t="s">
        <v>68</v>
      </c>
      <c r="J391">
        <v>82</v>
      </c>
      <c r="K391">
        <v>4</v>
      </c>
      <c r="L391">
        <v>16</v>
      </c>
      <c r="M391">
        <v>117</v>
      </c>
      <c r="N391">
        <v>112</v>
      </c>
      <c r="O391">
        <v>95.7</v>
      </c>
      <c r="P391">
        <v>97.7</v>
      </c>
      <c r="Q391">
        <v>98.7</v>
      </c>
      <c r="R391">
        <v>4.9000000000000004</v>
      </c>
      <c r="S391">
        <v>7.7</v>
      </c>
      <c r="T391" t="s">
        <v>46</v>
      </c>
      <c r="U391">
        <v>0</v>
      </c>
      <c r="V391">
        <v>3</v>
      </c>
    </row>
    <row r="392" spans="1:22" x14ac:dyDescent="0.3">
      <c r="A392" t="s">
        <v>628</v>
      </c>
      <c r="B392" t="s">
        <v>330</v>
      </c>
      <c r="C392" t="s">
        <v>24</v>
      </c>
      <c r="D392" t="s">
        <v>25</v>
      </c>
      <c r="E392" t="s">
        <v>41</v>
      </c>
      <c r="F392" t="s">
        <v>72</v>
      </c>
      <c r="G392" t="s">
        <v>63</v>
      </c>
      <c r="H392" t="s">
        <v>56</v>
      </c>
      <c r="I392" t="s">
        <v>92</v>
      </c>
      <c r="J392">
        <v>85</v>
      </c>
      <c r="K392">
        <v>3</v>
      </c>
      <c r="L392">
        <v>23</v>
      </c>
      <c r="M392">
        <v>91</v>
      </c>
      <c r="N392">
        <v>84</v>
      </c>
      <c r="O392">
        <v>92.3</v>
      </c>
      <c r="P392">
        <v>90.3</v>
      </c>
      <c r="Q392">
        <v>94.3</v>
      </c>
      <c r="R392">
        <v>4.2</v>
      </c>
      <c r="S392">
        <v>7.8</v>
      </c>
      <c r="T392" t="s">
        <v>46</v>
      </c>
      <c r="U392">
        <v>1</v>
      </c>
      <c r="V392">
        <v>1</v>
      </c>
    </row>
    <row r="393" spans="1:22" x14ac:dyDescent="0.3">
      <c r="A393" t="s">
        <v>629</v>
      </c>
      <c r="B393" t="s">
        <v>466</v>
      </c>
      <c r="C393" t="s">
        <v>24</v>
      </c>
      <c r="D393" t="s">
        <v>25</v>
      </c>
      <c r="E393" t="s">
        <v>26</v>
      </c>
      <c r="F393" t="s">
        <v>42</v>
      </c>
      <c r="G393" t="s">
        <v>63</v>
      </c>
      <c r="H393" t="s">
        <v>56</v>
      </c>
      <c r="I393" t="s">
        <v>30</v>
      </c>
      <c r="J393">
        <v>85</v>
      </c>
      <c r="K393">
        <v>3</v>
      </c>
      <c r="L393">
        <v>16</v>
      </c>
      <c r="M393">
        <v>131</v>
      </c>
      <c r="N393">
        <v>129</v>
      </c>
      <c r="O393">
        <v>98.5</v>
      </c>
      <c r="P393">
        <v>94.5</v>
      </c>
      <c r="Q393">
        <v>95.5</v>
      </c>
      <c r="R393">
        <v>4.8</v>
      </c>
      <c r="S393">
        <v>7.2</v>
      </c>
      <c r="T393" t="s">
        <v>46</v>
      </c>
      <c r="U393">
        <v>0</v>
      </c>
      <c r="V393">
        <v>3</v>
      </c>
    </row>
    <row r="394" spans="1:22" x14ac:dyDescent="0.3">
      <c r="A394" t="s">
        <v>630</v>
      </c>
      <c r="B394" t="s">
        <v>132</v>
      </c>
      <c r="C394" t="s">
        <v>24</v>
      </c>
      <c r="D394" t="s">
        <v>49</v>
      </c>
      <c r="E394" t="s">
        <v>67</v>
      </c>
      <c r="F394" t="s">
        <v>72</v>
      </c>
      <c r="G394" t="s">
        <v>63</v>
      </c>
      <c r="H394" t="s">
        <v>44</v>
      </c>
      <c r="I394" t="s">
        <v>68</v>
      </c>
      <c r="J394">
        <v>85</v>
      </c>
      <c r="K394">
        <v>3</v>
      </c>
      <c r="L394">
        <v>24</v>
      </c>
      <c r="M394">
        <v>162</v>
      </c>
      <c r="N394">
        <v>138</v>
      </c>
      <c r="O394">
        <v>85.2</v>
      </c>
      <c r="P394">
        <v>84.2</v>
      </c>
      <c r="Q394">
        <v>82.2</v>
      </c>
      <c r="R394">
        <v>3.9</v>
      </c>
      <c r="S394">
        <v>8.9</v>
      </c>
      <c r="T394" t="s">
        <v>31</v>
      </c>
      <c r="U394">
        <v>4</v>
      </c>
      <c r="V394">
        <v>12</v>
      </c>
    </row>
    <row r="395" spans="1:22" x14ac:dyDescent="0.3">
      <c r="A395" t="s">
        <v>631</v>
      </c>
      <c r="B395" t="s">
        <v>226</v>
      </c>
      <c r="C395" t="s">
        <v>40</v>
      </c>
      <c r="D395" t="s">
        <v>25</v>
      </c>
      <c r="E395" t="s">
        <v>34</v>
      </c>
      <c r="F395" t="s">
        <v>27</v>
      </c>
      <c r="G395" t="s">
        <v>36</v>
      </c>
      <c r="H395" t="s">
        <v>29</v>
      </c>
      <c r="I395" t="s">
        <v>68</v>
      </c>
      <c r="J395">
        <v>95</v>
      </c>
      <c r="K395">
        <v>1</v>
      </c>
      <c r="L395">
        <v>13</v>
      </c>
      <c r="M395">
        <v>93</v>
      </c>
      <c r="N395">
        <v>87</v>
      </c>
      <c r="O395">
        <v>93.5</v>
      </c>
      <c r="P395">
        <v>94.5</v>
      </c>
      <c r="Q395">
        <v>86.5</v>
      </c>
      <c r="R395">
        <v>4.7</v>
      </c>
      <c r="S395">
        <v>8</v>
      </c>
      <c r="T395" t="s">
        <v>46</v>
      </c>
      <c r="U395">
        <v>1</v>
      </c>
      <c r="V395">
        <v>9</v>
      </c>
    </row>
    <row r="396" spans="1:22" x14ac:dyDescent="0.3">
      <c r="A396" t="s">
        <v>632</v>
      </c>
      <c r="B396" t="s">
        <v>633</v>
      </c>
      <c r="C396" t="s">
        <v>24</v>
      </c>
      <c r="D396" t="s">
        <v>25</v>
      </c>
      <c r="E396" t="s">
        <v>71</v>
      </c>
      <c r="F396" t="s">
        <v>27</v>
      </c>
      <c r="G396" t="s">
        <v>55</v>
      </c>
      <c r="H396" t="s">
        <v>56</v>
      </c>
      <c r="I396" t="s">
        <v>92</v>
      </c>
      <c r="J396">
        <v>82</v>
      </c>
      <c r="K396">
        <v>4</v>
      </c>
      <c r="L396">
        <v>12</v>
      </c>
      <c r="M396">
        <v>149</v>
      </c>
      <c r="N396">
        <v>133</v>
      </c>
      <c r="O396">
        <v>89.3</v>
      </c>
      <c r="P396">
        <v>89.3</v>
      </c>
      <c r="Q396">
        <v>86.3</v>
      </c>
      <c r="R396">
        <v>4.3</v>
      </c>
      <c r="S396">
        <v>8.1</v>
      </c>
      <c r="T396" t="s">
        <v>31</v>
      </c>
      <c r="U396">
        <v>4</v>
      </c>
      <c r="V396">
        <v>3</v>
      </c>
    </row>
    <row r="397" spans="1:22" x14ac:dyDescent="0.3">
      <c r="A397" t="s">
        <v>634</v>
      </c>
      <c r="B397" t="s">
        <v>635</v>
      </c>
      <c r="C397" t="s">
        <v>40</v>
      </c>
      <c r="D397" t="s">
        <v>49</v>
      </c>
      <c r="E397" t="s">
        <v>67</v>
      </c>
      <c r="F397" t="s">
        <v>91</v>
      </c>
      <c r="G397" t="s">
        <v>43</v>
      </c>
      <c r="H397" t="s">
        <v>29</v>
      </c>
      <c r="I397" t="s">
        <v>92</v>
      </c>
      <c r="J397">
        <v>88</v>
      </c>
      <c r="K397">
        <v>3</v>
      </c>
      <c r="L397">
        <v>3</v>
      </c>
      <c r="M397">
        <v>154</v>
      </c>
      <c r="N397">
        <v>147</v>
      </c>
      <c r="O397">
        <v>95.5</v>
      </c>
      <c r="P397">
        <v>99.5</v>
      </c>
      <c r="Q397">
        <v>102.5</v>
      </c>
      <c r="R397">
        <v>5</v>
      </c>
      <c r="S397">
        <v>7.5</v>
      </c>
      <c r="T397" t="s">
        <v>46</v>
      </c>
      <c r="U397">
        <v>0</v>
      </c>
      <c r="V397">
        <v>5</v>
      </c>
    </row>
    <row r="398" spans="1:22" x14ac:dyDescent="0.3">
      <c r="A398" t="s">
        <v>636</v>
      </c>
      <c r="B398" t="s">
        <v>264</v>
      </c>
      <c r="C398" t="s">
        <v>40</v>
      </c>
      <c r="D398" t="s">
        <v>25</v>
      </c>
      <c r="E398" t="s">
        <v>71</v>
      </c>
      <c r="F398" t="s">
        <v>42</v>
      </c>
      <c r="G398" t="s">
        <v>55</v>
      </c>
      <c r="H398" t="s">
        <v>56</v>
      </c>
      <c r="I398" t="s">
        <v>79</v>
      </c>
      <c r="J398">
        <v>87</v>
      </c>
      <c r="K398">
        <v>3</v>
      </c>
      <c r="L398">
        <v>6</v>
      </c>
      <c r="M398">
        <v>130</v>
      </c>
      <c r="N398">
        <v>106</v>
      </c>
      <c r="O398">
        <v>81.5</v>
      </c>
      <c r="P398">
        <v>79.5</v>
      </c>
      <c r="Q398">
        <v>88.5</v>
      </c>
      <c r="R398">
        <v>3.6</v>
      </c>
      <c r="S398">
        <v>8.8000000000000007</v>
      </c>
      <c r="T398" t="s">
        <v>31</v>
      </c>
      <c r="U398">
        <v>4</v>
      </c>
      <c r="V398">
        <v>8</v>
      </c>
    </row>
    <row r="399" spans="1:22" x14ac:dyDescent="0.3">
      <c r="A399" t="s">
        <v>637</v>
      </c>
      <c r="B399" t="s">
        <v>256</v>
      </c>
      <c r="C399" t="s">
        <v>24</v>
      </c>
      <c r="D399" t="s">
        <v>25</v>
      </c>
      <c r="E399" t="s">
        <v>34</v>
      </c>
      <c r="F399" t="s">
        <v>27</v>
      </c>
      <c r="G399" t="s">
        <v>76</v>
      </c>
      <c r="H399" t="s">
        <v>44</v>
      </c>
      <c r="I399" t="s">
        <v>92</v>
      </c>
      <c r="J399">
        <v>97</v>
      </c>
      <c r="K399">
        <v>0</v>
      </c>
      <c r="L399">
        <v>8</v>
      </c>
      <c r="M399">
        <v>118</v>
      </c>
      <c r="N399">
        <v>99</v>
      </c>
      <c r="O399">
        <v>83.9</v>
      </c>
      <c r="P399">
        <v>84.9</v>
      </c>
      <c r="Q399">
        <v>75.900000000000006</v>
      </c>
      <c r="R399">
        <v>3.9</v>
      </c>
      <c r="S399">
        <v>9.1</v>
      </c>
      <c r="T399" t="s">
        <v>31</v>
      </c>
      <c r="U399">
        <v>4</v>
      </c>
      <c r="V399">
        <v>10</v>
      </c>
    </row>
    <row r="400" spans="1:22" x14ac:dyDescent="0.3">
      <c r="A400" t="s">
        <v>638</v>
      </c>
      <c r="B400" t="s">
        <v>639</v>
      </c>
      <c r="C400" t="s">
        <v>40</v>
      </c>
      <c r="D400" t="s">
        <v>25</v>
      </c>
      <c r="E400" t="s">
        <v>50</v>
      </c>
      <c r="F400" t="s">
        <v>72</v>
      </c>
      <c r="G400" t="s">
        <v>63</v>
      </c>
      <c r="H400" t="s">
        <v>56</v>
      </c>
      <c r="I400" t="s">
        <v>64</v>
      </c>
      <c r="J400">
        <v>90</v>
      </c>
      <c r="K400">
        <v>2</v>
      </c>
      <c r="L400">
        <v>2</v>
      </c>
      <c r="M400">
        <v>109</v>
      </c>
      <c r="N400">
        <v>95</v>
      </c>
      <c r="O400">
        <v>87.2</v>
      </c>
      <c r="P400">
        <v>90.2</v>
      </c>
      <c r="Q400">
        <v>86.2</v>
      </c>
      <c r="R400">
        <v>4.4000000000000004</v>
      </c>
      <c r="S400">
        <v>8</v>
      </c>
      <c r="T400" t="s">
        <v>31</v>
      </c>
      <c r="U400">
        <v>4</v>
      </c>
      <c r="V400">
        <v>3</v>
      </c>
    </row>
    <row r="401" spans="1:22" x14ac:dyDescent="0.3">
      <c r="A401" t="s">
        <v>640</v>
      </c>
      <c r="B401" t="s">
        <v>342</v>
      </c>
      <c r="C401" t="s">
        <v>40</v>
      </c>
      <c r="D401" t="s">
        <v>49</v>
      </c>
      <c r="E401" t="s">
        <v>71</v>
      </c>
      <c r="F401" t="s">
        <v>35</v>
      </c>
      <c r="G401" t="s">
        <v>76</v>
      </c>
      <c r="H401" t="s">
        <v>44</v>
      </c>
      <c r="I401" t="s">
        <v>92</v>
      </c>
      <c r="J401">
        <v>84</v>
      </c>
      <c r="K401">
        <v>4</v>
      </c>
      <c r="L401">
        <v>20</v>
      </c>
      <c r="M401">
        <v>122</v>
      </c>
      <c r="N401">
        <v>118</v>
      </c>
      <c r="O401">
        <v>96.7</v>
      </c>
      <c r="P401">
        <v>92.7</v>
      </c>
      <c r="Q401">
        <v>90.7</v>
      </c>
      <c r="R401">
        <v>4.5</v>
      </c>
      <c r="S401">
        <v>7.2</v>
      </c>
      <c r="T401" t="s">
        <v>46</v>
      </c>
      <c r="U401">
        <v>0</v>
      </c>
      <c r="V401">
        <v>7</v>
      </c>
    </row>
    <row r="402" spans="1:22" x14ac:dyDescent="0.3">
      <c r="A402" t="s">
        <v>641</v>
      </c>
      <c r="B402" t="s">
        <v>633</v>
      </c>
      <c r="C402" t="s">
        <v>40</v>
      </c>
      <c r="D402" t="s">
        <v>49</v>
      </c>
      <c r="E402" t="s">
        <v>67</v>
      </c>
      <c r="F402" t="s">
        <v>42</v>
      </c>
      <c r="G402" t="s">
        <v>55</v>
      </c>
      <c r="H402" t="s">
        <v>44</v>
      </c>
      <c r="I402" t="s">
        <v>57</v>
      </c>
      <c r="J402">
        <v>90</v>
      </c>
      <c r="K402">
        <v>2</v>
      </c>
      <c r="L402">
        <v>19</v>
      </c>
      <c r="M402">
        <v>100</v>
      </c>
      <c r="N402">
        <v>84</v>
      </c>
      <c r="O402">
        <v>84</v>
      </c>
      <c r="P402">
        <v>85</v>
      </c>
      <c r="Q402">
        <v>88</v>
      </c>
      <c r="R402">
        <v>3.8</v>
      </c>
      <c r="S402">
        <v>9.1</v>
      </c>
      <c r="T402" t="s">
        <v>31</v>
      </c>
      <c r="U402">
        <v>4</v>
      </c>
      <c r="V402">
        <v>3</v>
      </c>
    </row>
    <row r="403" spans="1:22" x14ac:dyDescent="0.3">
      <c r="A403" t="s">
        <v>642</v>
      </c>
      <c r="B403" t="s">
        <v>252</v>
      </c>
      <c r="C403" t="s">
        <v>24</v>
      </c>
      <c r="D403" t="s">
        <v>25</v>
      </c>
      <c r="E403" t="s">
        <v>71</v>
      </c>
      <c r="F403" t="s">
        <v>91</v>
      </c>
      <c r="G403" t="s">
        <v>36</v>
      </c>
      <c r="H403" t="s">
        <v>44</v>
      </c>
      <c r="I403" t="s">
        <v>68</v>
      </c>
      <c r="J403">
        <v>93</v>
      </c>
      <c r="K403">
        <v>1</v>
      </c>
      <c r="L403">
        <v>5</v>
      </c>
      <c r="M403">
        <v>138</v>
      </c>
      <c r="N403">
        <v>128</v>
      </c>
      <c r="O403">
        <v>92.8</v>
      </c>
      <c r="P403">
        <v>92.8</v>
      </c>
      <c r="Q403">
        <v>98.8</v>
      </c>
      <c r="R403">
        <v>4.7</v>
      </c>
      <c r="S403">
        <v>7.4</v>
      </c>
      <c r="T403" t="s">
        <v>46</v>
      </c>
      <c r="U403">
        <v>1</v>
      </c>
      <c r="V403">
        <v>6</v>
      </c>
    </row>
    <row r="404" spans="1:22" x14ac:dyDescent="0.3">
      <c r="A404" t="s">
        <v>643</v>
      </c>
      <c r="B404" t="s">
        <v>293</v>
      </c>
      <c r="C404" t="s">
        <v>40</v>
      </c>
      <c r="D404" t="s">
        <v>25</v>
      </c>
      <c r="E404" t="s">
        <v>67</v>
      </c>
      <c r="F404" t="s">
        <v>35</v>
      </c>
      <c r="G404" t="s">
        <v>43</v>
      </c>
      <c r="H404" t="s">
        <v>29</v>
      </c>
      <c r="I404" t="s">
        <v>73</v>
      </c>
      <c r="J404">
        <v>92</v>
      </c>
      <c r="K404">
        <v>2</v>
      </c>
      <c r="L404">
        <v>17</v>
      </c>
      <c r="M404">
        <v>164</v>
      </c>
      <c r="N404">
        <v>157</v>
      </c>
      <c r="O404">
        <v>95.7</v>
      </c>
      <c r="P404">
        <v>95.7</v>
      </c>
      <c r="Q404">
        <v>97.7</v>
      </c>
      <c r="R404">
        <v>4.7</v>
      </c>
      <c r="S404">
        <v>7.8</v>
      </c>
      <c r="T404" t="s">
        <v>46</v>
      </c>
      <c r="U404">
        <v>0</v>
      </c>
      <c r="V404">
        <v>7</v>
      </c>
    </row>
    <row r="405" spans="1:22" x14ac:dyDescent="0.3">
      <c r="A405" t="s">
        <v>644</v>
      </c>
      <c r="B405" t="s">
        <v>293</v>
      </c>
      <c r="C405" t="s">
        <v>24</v>
      </c>
      <c r="D405" t="s">
        <v>49</v>
      </c>
      <c r="E405" t="s">
        <v>41</v>
      </c>
      <c r="F405" t="s">
        <v>35</v>
      </c>
      <c r="G405" t="s">
        <v>76</v>
      </c>
      <c r="H405" t="s">
        <v>29</v>
      </c>
      <c r="I405" t="s">
        <v>82</v>
      </c>
      <c r="J405">
        <v>95</v>
      </c>
      <c r="K405">
        <v>1</v>
      </c>
      <c r="L405">
        <v>7</v>
      </c>
      <c r="M405">
        <v>108</v>
      </c>
      <c r="N405">
        <v>99</v>
      </c>
      <c r="O405">
        <v>91.7</v>
      </c>
      <c r="P405">
        <v>90.7</v>
      </c>
      <c r="Q405">
        <v>90.7</v>
      </c>
      <c r="R405">
        <v>4.4000000000000004</v>
      </c>
      <c r="S405">
        <v>7.6</v>
      </c>
      <c r="T405" t="s">
        <v>46</v>
      </c>
      <c r="U405">
        <v>1</v>
      </c>
      <c r="V405">
        <v>8</v>
      </c>
    </row>
    <row r="406" spans="1:22" x14ac:dyDescent="0.3">
      <c r="A406" t="s">
        <v>645</v>
      </c>
      <c r="B406" t="s">
        <v>513</v>
      </c>
      <c r="C406" t="s">
        <v>24</v>
      </c>
      <c r="D406" t="s">
        <v>49</v>
      </c>
      <c r="E406" t="s">
        <v>41</v>
      </c>
      <c r="F406" t="s">
        <v>54</v>
      </c>
      <c r="G406" t="s">
        <v>36</v>
      </c>
      <c r="H406" t="s">
        <v>56</v>
      </c>
      <c r="I406" t="s">
        <v>30</v>
      </c>
      <c r="J406">
        <v>86</v>
      </c>
      <c r="K406">
        <v>3</v>
      </c>
      <c r="L406">
        <v>21</v>
      </c>
      <c r="M406">
        <v>136</v>
      </c>
      <c r="N406">
        <v>134</v>
      </c>
      <c r="O406">
        <v>98.5</v>
      </c>
      <c r="P406">
        <v>98.5</v>
      </c>
      <c r="Q406">
        <v>102.5</v>
      </c>
      <c r="R406">
        <v>4.9000000000000004</v>
      </c>
      <c r="S406">
        <v>7.9</v>
      </c>
      <c r="T406" t="s">
        <v>46</v>
      </c>
      <c r="U406">
        <v>0</v>
      </c>
      <c r="V406">
        <v>11</v>
      </c>
    </row>
    <row r="407" spans="1:22" x14ac:dyDescent="0.3">
      <c r="A407" t="s">
        <v>646</v>
      </c>
      <c r="B407" t="s">
        <v>150</v>
      </c>
      <c r="C407" t="s">
        <v>40</v>
      </c>
      <c r="D407" t="s">
        <v>49</v>
      </c>
      <c r="E407" t="s">
        <v>67</v>
      </c>
      <c r="F407" t="s">
        <v>91</v>
      </c>
      <c r="G407" t="s">
        <v>36</v>
      </c>
      <c r="H407" t="s">
        <v>56</v>
      </c>
      <c r="I407" t="s">
        <v>73</v>
      </c>
      <c r="J407">
        <v>91</v>
      </c>
      <c r="K407">
        <v>2</v>
      </c>
      <c r="L407">
        <v>4</v>
      </c>
      <c r="M407">
        <v>122</v>
      </c>
      <c r="N407">
        <v>102</v>
      </c>
      <c r="O407">
        <v>83.6</v>
      </c>
      <c r="P407">
        <v>85.6</v>
      </c>
      <c r="Q407">
        <v>75.599999999999994</v>
      </c>
      <c r="R407">
        <v>3.9</v>
      </c>
      <c r="S407">
        <v>8.4</v>
      </c>
      <c r="T407" t="s">
        <v>31</v>
      </c>
      <c r="U407">
        <v>3</v>
      </c>
      <c r="V407">
        <v>12</v>
      </c>
    </row>
    <row r="408" spans="1:22" x14ac:dyDescent="0.3">
      <c r="A408" t="s">
        <v>647</v>
      </c>
      <c r="B408" t="s">
        <v>164</v>
      </c>
      <c r="C408" t="s">
        <v>24</v>
      </c>
      <c r="D408" t="s">
        <v>25</v>
      </c>
      <c r="E408" t="s">
        <v>50</v>
      </c>
      <c r="F408" t="s">
        <v>35</v>
      </c>
      <c r="G408" t="s">
        <v>43</v>
      </c>
      <c r="H408" t="s">
        <v>44</v>
      </c>
      <c r="I408" t="s">
        <v>57</v>
      </c>
      <c r="J408">
        <v>95</v>
      </c>
      <c r="K408">
        <v>1</v>
      </c>
      <c r="L408">
        <v>8</v>
      </c>
      <c r="M408">
        <v>175</v>
      </c>
      <c r="N408">
        <v>145</v>
      </c>
      <c r="O408">
        <v>82.9</v>
      </c>
      <c r="P408">
        <v>80.900000000000006</v>
      </c>
      <c r="Q408">
        <v>85.9</v>
      </c>
      <c r="R408">
        <v>3.6</v>
      </c>
      <c r="S408">
        <v>9.1</v>
      </c>
      <c r="T408" t="s">
        <v>31</v>
      </c>
      <c r="U408">
        <v>6</v>
      </c>
      <c r="V408">
        <v>2</v>
      </c>
    </row>
    <row r="409" spans="1:22" x14ac:dyDescent="0.3">
      <c r="A409" t="s">
        <v>648</v>
      </c>
      <c r="B409" t="s">
        <v>250</v>
      </c>
      <c r="C409" t="s">
        <v>24</v>
      </c>
      <c r="D409" t="s">
        <v>49</v>
      </c>
      <c r="E409" t="s">
        <v>50</v>
      </c>
      <c r="F409" t="s">
        <v>72</v>
      </c>
      <c r="G409" t="s">
        <v>76</v>
      </c>
      <c r="H409" t="s">
        <v>44</v>
      </c>
      <c r="I409" t="s">
        <v>37</v>
      </c>
      <c r="J409">
        <v>85</v>
      </c>
      <c r="K409">
        <v>3</v>
      </c>
      <c r="L409">
        <v>10</v>
      </c>
      <c r="M409">
        <v>161</v>
      </c>
      <c r="N409">
        <v>158</v>
      </c>
      <c r="O409">
        <v>98.1</v>
      </c>
      <c r="P409">
        <v>96.1</v>
      </c>
      <c r="Q409">
        <v>93.1</v>
      </c>
      <c r="R409">
        <v>4.8</v>
      </c>
      <c r="S409">
        <v>7.2</v>
      </c>
      <c r="T409" t="s">
        <v>31</v>
      </c>
      <c r="U409">
        <v>3</v>
      </c>
      <c r="V409">
        <v>11</v>
      </c>
    </row>
    <row r="410" spans="1:22" x14ac:dyDescent="0.3">
      <c r="A410" t="s">
        <v>649</v>
      </c>
      <c r="B410" t="s">
        <v>160</v>
      </c>
      <c r="C410" t="s">
        <v>24</v>
      </c>
      <c r="D410" t="s">
        <v>49</v>
      </c>
      <c r="E410" t="s">
        <v>34</v>
      </c>
      <c r="F410" t="s">
        <v>35</v>
      </c>
      <c r="G410" t="s">
        <v>43</v>
      </c>
      <c r="H410" t="s">
        <v>29</v>
      </c>
      <c r="I410" t="s">
        <v>51</v>
      </c>
      <c r="J410">
        <v>92</v>
      </c>
      <c r="K410">
        <v>2</v>
      </c>
      <c r="L410">
        <v>18</v>
      </c>
      <c r="M410">
        <v>153</v>
      </c>
      <c r="N410">
        <v>125</v>
      </c>
      <c r="O410">
        <v>81.7</v>
      </c>
      <c r="P410">
        <v>79.7</v>
      </c>
      <c r="Q410">
        <v>75.7</v>
      </c>
      <c r="R410">
        <v>3.4</v>
      </c>
      <c r="S410">
        <v>8.5</v>
      </c>
      <c r="T410" t="s">
        <v>31</v>
      </c>
      <c r="U410">
        <v>6</v>
      </c>
      <c r="V410">
        <v>1</v>
      </c>
    </row>
    <row r="411" spans="1:22" x14ac:dyDescent="0.3">
      <c r="A411" t="s">
        <v>650</v>
      </c>
      <c r="B411" t="s">
        <v>303</v>
      </c>
      <c r="C411" t="s">
        <v>24</v>
      </c>
      <c r="D411" t="s">
        <v>25</v>
      </c>
      <c r="E411" t="s">
        <v>41</v>
      </c>
      <c r="F411" t="s">
        <v>54</v>
      </c>
      <c r="G411" t="s">
        <v>63</v>
      </c>
      <c r="H411" t="s">
        <v>29</v>
      </c>
      <c r="I411" t="s">
        <v>37</v>
      </c>
      <c r="J411">
        <v>82</v>
      </c>
      <c r="K411">
        <v>4</v>
      </c>
      <c r="L411">
        <v>24</v>
      </c>
      <c r="M411">
        <v>91</v>
      </c>
      <c r="N411">
        <v>76</v>
      </c>
      <c r="O411">
        <v>83.5</v>
      </c>
      <c r="P411">
        <v>86.5</v>
      </c>
      <c r="Q411">
        <v>78.5</v>
      </c>
      <c r="R411">
        <v>4.0999999999999996</v>
      </c>
      <c r="S411">
        <v>9.1</v>
      </c>
      <c r="T411" t="s">
        <v>31</v>
      </c>
      <c r="U411">
        <v>4</v>
      </c>
      <c r="V411">
        <v>1</v>
      </c>
    </row>
    <row r="412" spans="1:22" x14ac:dyDescent="0.3">
      <c r="A412" t="s">
        <v>651</v>
      </c>
      <c r="B412" t="s">
        <v>652</v>
      </c>
      <c r="C412" t="s">
        <v>24</v>
      </c>
      <c r="D412" t="s">
        <v>25</v>
      </c>
      <c r="E412" t="s">
        <v>71</v>
      </c>
      <c r="F412" t="s">
        <v>54</v>
      </c>
      <c r="G412" t="s">
        <v>28</v>
      </c>
      <c r="H412" t="s">
        <v>44</v>
      </c>
      <c r="I412" t="s">
        <v>45</v>
      </c>
      <c r="J412">
        <v>98</v>
      </c>
      <c r="K412">
        <v>0</v>
      </c>
      <c r="L412">
        <v>13</v>
      </c>
      <c r="M412">
        <v>174</v>
      </c>
      <c r="N412">
        <v>152</v>
      </c>
      <c r="O412">
        <v>87.4</v>
      </c>
      <c r="P412">
        <v>84.4</v>
      </c>
      <c r="Q412">
        <v>80.400000000000006</v>
      </c>
      <c r="R412">
        <v>3.8</v>
      </c>
      <c r="S412">
        <v>8.4</v>
      </c>
      <c r="T412" t="s">
        <v>31</v>
      </c>
      <c r="U412">
        <v>4</v>
      </c>
      <c r="V412">
        <v>9</v>
      </c>
    </row>
    <row r="413" spans="1:22" x14ac:dyDescent="0.3">
      <c r="A413" t="s">
        <v>653</v>
      </c>
      <c r="B413" t="s">
        <v>295</v>
      </c>
      <c r="C413" t="s">
        <v>40</v>
      </c>
      <c r="D413" t="s">
        <v>25</v>
      </c>
      <c r="E413" t="s">
        <v>50</v>
      </c>
      <c r="F413" t="s">
        <v>35</v>
      </c>
      <c r="G413" t="s">
        <v>28</v>
      </c>
      <c r="H413" t="s">
        <v>56</v>
      </c>
      <c r="I413" t="s">
        <v>60</v>
      </c>
      <c r="J413">
        <v>95</v>
      </c>
      <c r="K413">
        <v>1</v>
      </c>
      <c r="L413">
        <v>20</v>
      </c>
      <c r="M413">
        <v>101</v>
      </c>
      <c r="N413">
        <v>101</v>
      </c>
      <c r="O413">
        <v>100</v>
      </c>
      <c r="P413">
        <v>100</v>
      </c>
      <c r="Q413">
        <v>100</v>
      </c>
      <c r="R413">
        <v>5</v>
      </c>
      <c r="S413">
        <v>7.4</v>
      </c>
      <c r="T413" t="s">
        <v>31</v>
      </c>
      <c r="U413">
        <v>5</v>
      </c>
      <c r="V413">
        <v>2</v>
      </c>
    </row>
    <row r="414" spans="1:22" x14ac:dyDescent="0.3">
      <c r="A414" t="s">
        <v>654</v>
      </c>
      <c r="B414" t="s">
        <v>230</v>
      </c>
      <c r="C414" t="s">
        <v>24</v>
      </c>
      <c r="D414" t="s">
        <v>49</v>
      </c>
      <c r="E414" t="s">
        <v>50</v>
      </c>
      <c r="F414" t="s">
        <v>54</v>
      </c>
      <c r="G414" t="s">
        <v>76</v>
      </c>
      <c r="H414" t="s">
        <v>29</v>
      </c>
      <c r="I414" t="s">
        <v>30</v>
      </c>
      <c r="J414">
        <v>89</v>
      </c>
      <c r="K414">
        <v>2</v>
      </c>
      <c r="L414">
        <v>9</v>
      </c>
      <c r="M414">
        <v>168</v>
      </c>
      <c r="N414">
        <v>139</v>
      </c>
      <c r="O414">
        <v>82.7</v>
      </c>
      <c r="P414">
        <v>83.7</v>
      </c>
      <c r="Q414">
        <v>85.7</v>
      </c>
      <c r="R414">
        <v>3.7</v>
      </c>
      <c r="S414">
        <v>8.5</v>
      </c>
      <c r="T414" t="s">
        <v>31</v>
      </c>
      <c r="U414">
        <v>3</v>
      </c>
      <c r="V414">
        <v>6</v>
      </c>
    </row>
    <row r="415" spans="1:22" x14ac:dyDescent="0.3">
      <c r="A415" t="s">
        <v>655</v>
      </c>
      <c r="B415" t="s">
        <v>436</v>
      </c>
      <c r="C415" t="s">
        <v>40</v>
      </c>
      <c r="D415" t="s">
        <v>49</v>
      </c>
      <c r="E415" t="s">
        <v>34</v>
      </c>
      <c r="F415" t="s">
        <v>42</v>
      </c>
      <c r="G415" t="s">
        <v>28</v>
      </c>
      <c r="H415" t="s">
        <v>56</v>
      </c>
      <c r="I415" t="s">
        <v>37</v>
      </c>
      <c r="J415">
        <v>98</v>
      </c>
      <c r="K415">
        <v>0</v>
      </c>
      <c r="L415">
        <v>16</v>
      </c>
      <c r="M415">
        <v>118</v>
      </c>
      <c r="N415">
        <v>117</v>
      </c>
      <c r="O415">
        <v>99.2</v>
      </c>
      <c r="P415">
        <v>97.2</v>
      </c>
      <c r="Q415">
        <v>94.2</v>
      </c>
      <c r="R415">
        <v>4.9000000000000004</v>
      </c>
      <c r="S415">
        <v>7.3</v>
      </c>
      <c r="T415" t="s">
        <v>46</v>
      </c>
      <c r="U415">
        <v>0</v>
      </c>
      <c r="V415">
        <v>7</v>
      </c>
    </row>
    <row r="416" spans="1:22" x14ac:dyDescent="0.3">
      <c r="A416" t="s">
        <v>656</v>
      </c>
      <c r="B416" t="s">
        <v>366</v>
      </c>
      <c r="C416" t="s">
        <v>40</v>
      </c>
      <c r="D416" t="s">
        <v>49</v>
      </c>
      <c r="E416" t="s">
        <v>34</v>
      </c>
      <c r="F416" t="s">
        <v>27</v>
      </c>
      <c r="G416" t="s">
        <v>76</v>
      </c>
      <c r="H416" t="s">
        <v>56</v>
      </c>
      <c r="I416" t="s">
        <v>37</v>
      </c>
      <c r="J416">
        <v>99</v>
      </c>
      <c r="K416">
        <v>0</v>
      </c>
      <c r="L416">
        <v>15</v>
      </c>
      <c r="M416">
        <v>104</v>
      </c>
      <c r="N416">
        <v>86</v>
      </c>
      <c r="O416">
        <v>82.7</v>
      </c>
      <c r="P416">
        <v>82.7</v>
      </c>
      <c r="Q416">
        <v>81.7</v>
      </c>
      <c r="R416">
        <v>3.7</v>
      </c>
      <c r="S416">
        <v>9.1999999999999993</v>
      </c>
      <c r="T416" t="s">
        <v>31</v>
      </c>
      <c r="U416">
        <v>5</v>
      </c>
      <c r="V416">
        <v>9</v>
      </c>
    </row>
    <row r="417" spans="1:22" x14ac:dyDescent="0.3">
      <c r="A417" t="s">
        <v>657</v>
      </c>
      <c r="B417" t="s">
        <v>232</v>
      </c>
      <c r="C417" t="s">
        <v>24</v>
      </c>
      <c r="D417" t="s">
        <v>25</v>
      </c>
      <c r="E417" t="s">
        <v>71</v>
      </c>
      <c r="F417" t="s">
        <v>42</v>
      </c>
      <c r="G417" t="s">
        <v>76</v>
      </c>
      <c r="H417" t="s">
        <v>44</v>
      </c>
      <c r="I417" t="s">
        <v>37</v>
      </c>
      <c r="J417">
        <v>87</v>
      </c>
      <c r="K417">
        <v>3</v>
      </c>
      <c r="L417">
        <v>13</v>
      </c>
      <c r="M417">
        <v>116</v>
      </c>
      <c r="N417">
        <v>114</v>
      </c>
      <c r="O417">
        <v>98.3</v>
      </c>
      <c r="P417">
        <v>96.3</v>
      </c>
      <c r="Q417">
        <v>103.3</v>
      </c>
      <c r="R417">
        <v>4.9000000000000004</v>
      </c>
      <c r="S417">
        <v>7.8</v>
      </c>
      <c r="T417" t="s">
        <v>46</v>
      </c>
      <c r="U417">
        <v>1</v>
      </c>
      <c r="V417">
        <v>12</v>
      </c>
    </row>
    <row r="418" spans="1:22" x14ac:dyDescent="0.3">
      <c r="A418" t="s">
        <v>658</v>
      </c>
      <c r="B418" t="s">
        <v>389</v>
      </c>
      <c r="C418" t="s">
        <v>40</v>
      </c>
      <c r="D418" t="s">
        <v>49</v>
      </c>
      <c r="E418" t="s">
        <v>67</v>
      </c>
      <c r="F418" t="s">
        <v>35</v>
      </c>
      <c r="G418" t="s">
        <v>36</v>
      </c>
      <c r="H418" t="s">
        <v>29</v>
      </c>
      <c r="I418" t="s">
        <v>79</v>
      </c>
      <c r="J418">
        <v>84</v>
      </c>
      <c r="K418">
        <v>4</v>
      </c>
      <c r="L418">
        <v>22</v>
      </c>
      <c r="M418">
        <v>114</v>
      </c>
      <c r="N418">
        <v>94</v>
      </c>
      <c r="O418">
        <v>82.5</v>
      </c>
      <c r="P418">
        <v>83.5</v>
      </c>
      <c r="Q418">
        <v>90.5</v>
      </c>
      <c r="R418">
        <v>3.9</v>
      </c>
      <c r="S418">
        <v>9</v>
      </c>
      <c r="T418" t="s">
        <v>31</v>
      </c>
      <c r="U418">
        <v>3</v>
      </c>
      <c r="V418">
        <v>0</v>
      </c>
    </row>
    <row r="419" spans="1:22" x14ac:dyDescent="0.3">
      <c r="A419" t="s">
        <v>659</v>
      </c>
      <c r="B419" t="s">
        <v>660</v>
      </c>
      <c r="C419" t="s">
        <v>24</v>
      </c>
      <c r="D419" t="s">
        <v>25</v>
      </c>
      <c r="E419" t="s">
        <v>50</v>
      </c>
      <c r="F419" t="s">
        <v>27</v>
      </c>
      <c r="G419" t="s">
        <v>63</v>
      </c>
      <c r="H419" t="s">
        <v>56</v>
      </c>
      <c r="I419" t="s">
        <v>51</v>
      </c>
      <c r="J419">
        <v>90</v>
      </c>
      <c r="K419">
        <v>2</v>
      </c>
      <c r="L419">
        <v>8</v>
      </c>
      <c r="M419">
        <v>137</v>
      </c>
      <c r="N419">
        <v>123</v>
      </c>
      <c r="O419">
        <v>89.8</v>
      </c>
      <c r="P419">
        <v>86.8</v>
      </c>
      <c r="Q419">
        <v>90.8</v>
      </c>
      <c r="R419">
        <v>4.0999999999999996</v>
      </c>
      <c r="S419">
        <v>8.5</v>
      </c>
      <c r="T419" t="s">
        <v>31</v>
      </c>
      <c r="U419">
        <v>5</v>
      </c>
      <c r="V419">
        <v>11</v>
      </c>
    </row>
    <row r="420" spans="1:22" x14ac:dyDescent="0.3">
      <c r="A420" t="s">
        <v>661</v>
      </c>
      <c r="B420" t="s">
        <v>420</v>
      </c>
      <c r="C420" t="s">
        <v>40</v>
      </c>
      <c r="D420" t="s">
        <v>25</v>
      </c>
      <c r="E420" t="s">
        <v>50</v>
      </c>
      <c r="F420" t="s">
        <v>35</v>
      </c>
      <c r="G420" t="s">
        <v>55</v>
      </c>
      <c r="H420" t="s">
        <v>44</v>
      </c>
      <c r="I420" t="s">
        <v>30</v>
      </c>
      <c r="J420">
        <v>95</v>
      </c>
      <c r="K420">
        <v>1</v>
      </c>
      <c r="L420">
        <v>1</v>
      </c>
      <c r="M420">
        <v>151</v>
      </c>
      <c r="N420">
        <v>126</v>
      </c>
      <c r="O420">
        <v>83.4</v>
      </c>
      <c r="P420">
        <v>82.4</v>
      </c>
      <c r="Q420">
        <v>82.4</v>
      </c>
      <c r="R420">
        <v>3.7</v>
      </c>
      <c r="S420">
        <v>8.4</v>
      </c>
      <c r="T420" t="s">
        <v>31</v>
      </c>
      <c r="U420">
        <v>7</v>
      </c>
      <c r="V420">
        <v>9</v>
      </c>
    </row>
    <row r="421" spans="1:22" x14ac:dyDescent="0.3">
      <c r="A421" t="s">
        <v>662</v>
      </c>
      <c r="B421" t="s">
        <v>175</v>
      </c>
      <c r="C421" t="s">
        <v>24</v>
      </c>
      <c r="D421" t="s">
        <v>25</v>
      </c>
      <c r="E421" t="s">
        <v>34</v>
      </c>
      <c r="F421" t="s">
        <v>35</v>
      </c>
      <c r="G421" t="s">
        <v>43</v>
      </c>
      <c r="H421" t="s">
        <v>56</v>
      </c>
      <c r="I421" t="s">
        <v>79</v>
      </c>
      <c r="J421">
        <v>82</v>
      </c>
      <c r="K421">
        <v>4</v>
      </c>
      <c r="L421">
        <v>17</v>
      </c>
      <c r="M421">
        <v>111</v>
      </c>
      <c r="N421">
        <v>93</v>
      </c>
      <c r="O421">
        <v>83.8</v>
      </c>
      <c r="P421">
        <v>84.8</v>
      </c>
      <c r="Q421">
        <v>91.8</v>
      </c>
      <c r="R421">
        <v>4</v>
      </c>
      <c r="S421">
        <v>8.3000000000000007</v>
      </c>
      <c r="T421" t="s">
        <v>31</v>
      </c>
      <c r="U421">
        <v>3</v>
      </c>
      <c r="V421">
        <v>10</v>
      </c>
    </row>
    <row r="422" spans="1:22" x14ac:dyDescent="0.3">
      <c r="A422" t="s">
        <v>663</v>
      </c>
      <c r="B422" t="s">
        <v>562</v>
      </c>
      <c r="C422" t="s">
        <v>40</v>
      </c>
      <c r="D422" t="s">
        <v>25</v>
      </c>
      <c r="E422" t="s">
        <v>50</v>
      </c>
      <c r="F422" t="s">
        <v>35</v>
      </c>
      <c r="G422" t="s">
        <v>63</v>
      </c>
      <c r="H422" t="s">
        <v>44</v>
      </c>
      <c r="I422" t="s">
        <v>79</v>
      </c>
      <c r="J422">
        <v>92</v>
      </c>
      <c r="K422">
        <v>2</v>
      </c>
      <c r="L422">
        <v>15</v>
      </c>
      <c r="M422">
        <v>138</v>
      </c>
      <c r="N422">
        <v>137</v>
      </c>
      <c r="O422">
        <v>99.3</v>
      </c>
      <c r="P422">
        <v>100</v>
      </c>
      <c r="Q422">
        <v>103.3</v>
      </c>
      <c r="R422">
        <v>5</v>
      </c>
      <c r="S422">
        <v>7</v>
      </c>
      <c r="T422" t="s">
        <v>46</v>
      </c>
      <c r="U422">
        <v>1</v>
      </c>
      <c r="V422">
        <v>8</v>
      </c>
    </row>
    <row r="423" spans="1:22" x14ac:dyDescent="0.3">
      <c r="A423" t="s">
        <v>664</v>
      </c>
      <c r="B423" t="s">
        <v>84</v>
      </c>
      <c r="C423" t="s">
        <v>40</v>
      </c>
      <c r="D423" t="s">
        <v>25</v>
      </c>
      <c r="E423" t="s">
        <v>67</v>
      </c>
      <c r="F423" t="s">
        <v>72</v>
      </c>
      <c r="G423" t="s">
        <v>55</v>
      </c>
      <c r="H423" t="s">
        <v>56</v>
      </c>
      <c r="I423" t="s">
        <v>64</v>
      </c>
      <c r="J423">
        <v>85</v>
      </c>
      <c r="K423">
        <v>3</v>
      </c>
      <c r="L423">
        <v>6</v>
      </c>
      <c r="M423">
        <v>159</v>
      </c>
      <c r="N423">
        <v>134</v>
      </c>
      <c r="O423">
        <v>84.3</v>
      </c>
      <c r="P423">
        <v>88.3</v>
      </c>
      <c r="Q423">
        <v>78.3</v>
      </c>
      <c r="R423">
        <v>4.3</v>
      </c>
      <c r="S423">
        <v>8.9</v>
      </c>
      <c r="T423" t="s">
        <v>31</v>
      </c>
      <c r="U423">
        <v>7</v>
      </c>
      <c r="V423">
        <v>10</v>
      </c>
    </row>
    <row r="424" spans="1:22" x14ac:dyDescent="0.3">
      <c r="A424" t="s">
        <v>665</v>
      </c>
      <c r="B424" t="s">
        <v>354</v>
      </c>
      <c r="C424" t="s">
        <v>40</v>
      </c>
      <c r="D424" t="s">
        <v>25</v>
      </c>
      <c r="E424" t="s">
        <v>71</v>
      </c>
      <c r="F424" t="s">
        <v>91</v>
      </c>
      <c r="G424" t="s">
        <v>63</v>
      </c>
      <c r="H424" t="s">
        <v>56</v>
      </c>
      <c r="I424" t="s">
        <v>57</v>
      </c>
      <c r="J424">
        <v>84</v>
      </c>
      <c r="K424">
        <v>4</v>
      </c>
      <c r="L424">
        <v>9</v>
      </c>
      <c r="M424">
        <v>123</v>
      </c>
      <c r="N424">
        <v>121</v>
      </c>
      <c r="O424">
        <v>98.4</v>
      </c>
      <c r="P424">
        <v>95.4</v>
      </c>
      <c r="Q424">
        <v>102.4</v>
      </c>
      <c r="R424">
        <v>4.8</v>
      </c>
      <c r="S424">
        <v>7.9</v>
      </c>
      <c r="T424" t="s">
        <v>31</v>
      </c>
      <c r="U424">
        <v>4</v>
      </c>
      <c r="V424">
        <v>2</v>
      </c>
    </row>
    <row r="425" spans="1:22" x14ac:dyDescent="0.3">
      <c r="A425" t="s">
        <v>666</v>
      </c>
      <c r="B425" t="s">
        <v>502</v>
      </c>
      <c r="C425" t="s">
        <v>24</v>
      </c>
      <c r="D425" t="s">
        <v>25</v>
      </c>
      <c r="E425" t="s">
        <v>67</v>
      </c>
      <c r="F425" t="s">
        <v>72</v>
      </c>
      <c r="G425" t="s">
        <v>43</v>
      </c>
      <c r="H425" t="s">
        <v>29</v>
      </c>
      <c r="I425" t="s">
        <v>73</v>
      </c>
      <c r="J425">
        <v>92</v>
      </c>
      <c r="K425">
        <v>2</v>
      </c>
      <c r="L425">
        <v>7</v>
      </c>
      <c r="M425">
        <v>96</v>
      </c>
      <c r="N425">
        <v>81</v>
      </c>
      <c r="O425">
        <v>84.4</v>
      </c>
      <c r="P425">
        <v>86.4</v>
      </c>
      <c r="Q425">
        <v>81.400000000000006</v>
      </c>
      <c r="R425">
        <v>4.0999999999999996</v>
      </c>
      <c r="S425">
        <v>8.1999999999999993</v>
      </c>
      <c r="T425" t="s">
        <v>31</v>
      </c>
      <c r="U425">
        <v>4</v>
      </c>
      <c r="V425">
        <v>10</v>
      </c>
    </row>
    <row r="426" spans="1:22" x14ac:dyDescent="0.3">
      <c r="A426" t="s">
        <v>667</v>
      </c>
      <c r="B426" t="s">
        <v>315</v>
      </c>
      <c r="C426" t="s">
        <v>24</v>
      </c>
      <c r="D426" t="s">
        <v>25</v>
      </c>
      <c r="E426" t="s">
        <v>67</v>
      </c>
      <c r="F426" t="s">
        <v>91</v>
      </c>
      <c r="G426" t="s">
        <v>55</v>
      </c>
      <c r="H426" t="s">
        <v>56</v>
      </c>
      <c r="I426" t="s">
        <v>82</v>
      </c>
      <c r="J426">
        <v>84</v>
      </c>
      <c r="K426">
        <v>4</v>
      </c>
      <c r="L426">
        <v>9</v>
      </c>
      <c r="M426">
        <v>102</v>
      </c>
      <c r="N426">
        <v>83</v>
      </c>
      <c r="O426">
        <v>81.400000000000006</v>
      </c>
      <c r="P426">
        <v>78</v>
      </c>
      <c r="Q426">
        <v>89.4</v>
      </c>
      <c r="R426">
        <v>3.4</v>
      </c>
      <c r="S426">
        <v>9</v>
      </c>
      <c r="T426" t="s">
        <v>31</v>
      </c>
      <c r="U426">
        <v>5</v>
      </c>
      <c r="V426">
        <v>0</v>
      </c>
    </row>
    <row r="427" spans="1:22" x14ac:dyDescent="0.3">
      <c r="A427" t="s">
        <v>668</v>
      </c>
      <c r="B427" t="s">
        <v>59</v>
      </c>
      <c r="C427" t="s">
        <v>40</v>
      </c>
      <c r="D427" t="s">
        <v>49</v>
      </c>
      <c r="E427" t="s">
        <v>67</v>
      </c>
      <c r="F427" t="s">
        <v>35</v>
      </c>
      <c r="G427" t="s">
        <v>55</v>
      </c>
      <c r="H427" t="s">
        <v>29</v>
      </c>
      <c r="I427" t="s">
        <v>92</v>
      </c>
      <c r="J427">
        <v>85</v>
      </c>
      <c r="K427">
        <v>3</v>
      </c>
      <c r="L427">
        <v>15</v>
      </c>
      <c r="M427">
        <v>150</v>
      </c>
      <c r="N427">
        <v>148</v>
      </c>
      <c r="O427">
        <v>98.7</v>
      </c>
      <c r="P427">
        <v>100</v>
      </c>
      <c r="Q427">
        <v>100.7</v>
      </c>
      <c r="R427">
        <v>5</v>
      </c>
      <c r="S427">
        <v>7.8</v>
      </c>
      <c r="T427" t="s">
        <v>46</v>
      </c>
      <c r="U427">
        <v>2</v>
      </c>
      <c r="V427">
        <v>6</v>
      </c>
    </row>
    <row r="428" spans="1:22" x14ac:dyDescent="0.3">
      <c r="A428" t="s">
        <v>669</v>
      </c>
      <c r="B428" t="s">
        <v>311</v>
      </c>
      <c r="C428" t="s">
        <v>24</v>
      </c>
      <c r="D428" t="s">
        <v>49</v>
      </c>
      <c r="E428" t="s">
        <v>67</v>
      </c>
      <c r="F428" t="s">
        <v>91</v>
      </c>
      <c r="G428" t="s">
        <v>76</v>
      </c>
      <c r="H428" t="s">
        <v>56</v>
      </c>
      <c r="I428" t="s">
        <v>73</v>
      </c>
      <c r="J428">
        <v>84</v>
      </c>
      <c r="K428">
        <v>4</v>
      </c>
      <c r="L428">
        <v>6</v>
      </c>
      <c r="M428">
        <v>167</v>
      </c>
      <c r="N428">
        <v>167</v>
      </c>
      <c r="O428">
        <v>100</v>
      </c>
      <c r="P428">
        <v>100</v>
      </c>
      <c r="Q428">
        <v>103</v>
      </c>
      <c r="R428">
        <v>5</v>
      </c>
      <c r="S428">
        <v>7.7</v>
      </c>
      <c r="T428" t="s">
        <v>46</v>
      </c>
      <c r="U428">
        <v>0</v>
      </c>
      <c r="V428">
        <v>4</v>
      </c>
    </row>
    <row r="429" spans="1:22" x14ac:dyDescent="0.3">
      <c r="A429" t="s">
        <v>670</v>
      </c>
      <c r="B429" t="s">
        <v>285</v>
      </c>
      <c r="C429" t="s">
        <v>24</v>
      </c>
      <c r="D429" t="s">
        <v>49</v>
      </c>
      <c r="E429" t="s">
        <v>67</v>
      </c>
      <c r="F429" t="s">
        <v>54</v>
      </c>
      <c r="G429" t="s">
        <v>36</v>
      </c>
      <c r="H429" t="s">
        <v>29</v>
      </c>
      <c r="I429" t="s">
        <v>60</v>
      </c>
      <c r="J429">
        <v>83</v>
      </c>
      <c r="K429">
        <v>4</v>
      </c>
      <c r="L429">
        <v>18</v>
      </c>
      <c r="M429">
        <v>111</v>
      </c>
      <c r="N429">
        <v>110</v>
      </c>
      <c r="O429">
        <v>99.1</v>
      </c>
      <c r="P429">
        <v>96.1</v>
      </c>
      <c r="Q429">
        <v>99.1</v>
      </c>
      <c r="R429">
        <v>4.9000000000000004</v>
      </c>
      <c r="S429">
        <v>7.1</v>
      </c>
      <c r="T429" t="s">
        <v>46</v>
      </c>
      <c r="U429">
        <v>0</v>
      </c>
      <c r="V429">
        <v>8</v>
      </c>
    </row>
    <row r="430" spans="1:22" x14ac:dyDescent="0.3">
      <c r="A430" t="s">
        <v>671</v>
      </c>
      <c r="B430" t="s">
        <v>342</v>
      </c>
      <c r="C430" t="s">
        <v>24</v>
      </c>
      <c r="D430" t="s">
        <v>49</v>
      </c>
      <c r="E430" t="s">
        <v>26</v>
      </c>
      <c r="F430" t="s">
        <v>27</v>
      </c>
      <c r="G430" t="s">
        <v>76</v>
      </c>
      <c r="H430" t="s">
        <v>56</v>
      </c>
      <c r="I430" t="s">
        <v>37</v>
      </c>
      <c r="J430">
        <v>88</v>
      </c>
      <c r="K430">
        <v>3</v>
      </c>
      <c r="L430">
        <v>0</v>
      </c>
      <c r="M430">
        <v>164</v>
      </c>
      <c r="N430">
        <v>136</v>
      </c>
      <c r="O430">
        <v>82.9</v>
      </c>
      <c r="P430">
        <v>83.9</v>
      </c>
      <c r="Q430">
        <v>81.900000000000006</v>
      </c>
      <c r="R430">
        <v>3.9</v>
      </c>
      <c r="S430">
        <v>8.6999999999999993</v>
      </c>
      <c r="T430" t="s">
        <v>31</v>
      </c>
      <c r="U430">
        <v>4</v>
      </c>
      <c r="V430">
        <v>10</v>
      </c>
    </row>
    <row r="431" spans="1:22" x14ac:dyDescent="0.3">
      <c r="A431" t="s">
        <v>672</v>
      </c>
      <c r="B431" t="s">
        <v>117</v>
      </c>
      <c r="C431" t="s">
        <v>24</v>
      </c>
      <c r="D431" t="s">
        <v>49</v>
      </c>
      <c r="E431" t="s">
        <v>41</v>
      </c>
      <c r="F431" t="s">
        <v>54</v>
      </c>
      <c r="G431" t="s">
        <v>28</v>
      </c>
      <c r="H431" t="s">
        <v>29</v>
      </c>
      <c r="I431" t="s">
        <v>30</v>
      </c>
      <c r="J431">
        <v>100</v>
      </c>
      <c r="K431">
        <v>0</v>
      </c>
      <c r="L431">
        <v>14</v>
      </c>
      <c r="M431">
        <v>174</v>
      </c>
      <c r="N431">
        <v>165</v>
      </c>
      <c r="O431">
        <v>94.8</v>
      </c>
      <c r="P431">
        <v>90.8</v>
      </c>
      <c r="Q431">
        <v>89.8</v>
      </c>
      <c r="R431">
        <v>4.5</v>
      </c>
      <c r="S431">
        <v>7.7</v>
      </c>
      <c r="T431" t="s">
        <v>46</v>
      </c>
      <c r="U431">
        <v>0</v>
      </c>
      <c r="V431">
        <v>4</v>
      </c>
    </row>
    <row r="432" spans="1:22" x14ac:dyDescent="0.3">
      <c r="A432" t="s">
        <v>673</v>
      </c>
      <c r="B432" t="s">
        <v>338</v>
      </c>
      <c r="C432" t="s">
        <v>40</v>
      </c>
      <c r="D432" t="s">
        <v>49</v>
      </c>
      <c r="E432" t="s">
        <v>34</v>
      </c>
      <c r="F432" t="s">
        <v>35</v>
      </c>
      <c r="G432" t="s">
        <v>55</v>
      </c>
      <c r="H432" t="s">
        <v>44</v>
      </c>
      <c r="I432" t="s">
        <v>79</v>
      </c>
      <c r="J432">
        <v>88</v>
      </c>
      <c r="K432">
        <v>3</v>
      </c>
      <c r="L432">
        <v>3</v>
      </c>
      <c r="M432">
        <v>133</v>
      </c>
      <c r="N432">
        <v>112</v>
      </c>
      <c r="O432">
        <v>84.2</v>
      </c>
      <c r="P432">
        <v>80.2</v>
      </c>
      <c r="Q432">
        <v>83.2</v>
      </c>
      <c r="R432">
        <v>3.7</v>
      </c>
      <c r="S432">
        <v>9</v>
      </c>
      <c r="T432" t="s">
        <v>31</v>
      </c>
      <c r="U432">
        <v>3</v>
      </c>
      <c r="V432">
        <v>6</v>
      </c>
    </row>
    <row r="433" spans="1:22" x14ac:dyDescent="0.3">
      <c r="A433" t="s">
        <v>674</v>
      </c>
      <c r="B433" t="s">
        <v>154</v>
      </c>
      <c r="C433" t="s">
        <v>24</v>
      </c>
      <c r="D433" t="s">
        <v>25</v>
      </c>
      <c r="E433" t="s">
        <v>50</v>
      </c>
      <c r="F433" t="s">
        <v>42</v>
      </c>
      <c r="G433" t="s">
        <v>43</v>
      </c>
      <c r="H433" t="s">
        <v>44</v>
      </c>
      <c r="I433" t="s">
        <v>45</v>
      </c>
      <c r="J433">
        <v>91</v>
      </c>
      <c r="K433">
        <v>2</v>
      </c>
      <c r="L433">
        <v>7</v>
      </c>
      <c r="M433">
        <v>125</v>
      </c>
      <c r="N433">
        <v>105</v>
      </c>
      <c r="O433">
        <v>84</v>
      </c>
      <c r="P433">
        <v>83</v>
      </c>
      <c r="Q433">
        <v>81</v>
      </c>
      <c r="R433">
        <v>3.8</v>
      </c>
      <c r="S433">
        <v>8.1999999999999993</v>
      </c>
      <c r="T433" t="s">
        <v>31</v>
      </c>
      <c r="U433">
        <v>5</v>
      </c>
      <c r="V433">
        <v>11</v>
      </c>
    </row>
    <row r="434" spans="1:22" x14ac:dyDescent="0.3">
      <c r="A434" t="s">
        <v>675</v>
      </c>
      <c r="B434" t="s">
        <v>158</v>
      </c>
      <c r="C434" t="s">
        <v>40</v>
      </c>
      <c r="D434" t="s">
        <v>25</v>
      </c>
      <c r="E434" t="s">
        <v>50</v>
      </c>
      <c r="F434" t="s">
        <v>54</v>
      </c>
      <c r="G434" t="s">
        <v>36</v>
      </c>
      <c r="H434" t="s">
        <v>44</v>
      </c>
      <c r="I434" t="s">
        <v>68</v>
      </c>
      <c r="J434">
        <v>89</v>
      </c>
      <c r="K434">
        <v>2</v>
      </c>
      <c r="L434">
        <v>14</v>
      </c>
      <c r="M434">
        <v>105</v>
      </c>
      <c r="N434">
        <v>94</v>
      </c>
      <c r="O434">
        <v>89.5</v>
      </c>
      <c r="P434">
        <v>87.5</v>
      </c>
      <c r="Q434">
        <v>93.5</v>
      </c>
      <c r="R434">
        <v>4</v>
      </c>
      <c r="S434">
        <v>8.6</v>
      </c>
      <c r="T434" t="s">
        <v>31</v>
      </c>
      <c r="U434">
        <v>7</v>
      </c>
      <c r="V434">
        <v>9</v>
      </c>
    </row>
    <row r="435" spans="1:22" x14ac:dyDescent="0.3">
      <c r="A435" t="s">
        <v>676</v>
      </c>
      <c r="B435" t="s">
        <v>119</v>
      </c>
      <c r="C435" t="s">
        <v>40</v>
      </c>
      <c r="D435" t="s">
        <v>25</v>
      </c>
      <c r="E435" t="s">
        <v>26</v>
      </c>
      <c r="F435" t="s">
        <v>91</v>
      </c>
      <c r="G435" t="s">
        <v>63</v>
      </c>
      <c r="H435" t="s">
        <v>44</v>
      </c>
      <c r="I435" t="s">
        <v>45</v>
      </c>
      <c r="J435">
        <v>95</v>
      </c>
      <c r="K435">
        <v>1</v>
      </c>
      <c r="L435">
        <v>11</v>
      </c>
      <c r="M435">
        <v>157</v>
      </c>
      <c r="N435">
        <v>143</v>
      </c>
      <c r="O435">
        <v>91.1</v>
      </c>
      <c r="P435">
        <v>94.1</v>
      </c>
      <c r="Q435">
        <v>97.1</v>
      </c>
      <c r="R435">
        <v>4.8</v>
      </c>
      <c r="S435">
        <v>8.4</v>
      </c>
      <c r="T435" t="s">
        <v>46</v>
      </c>
      <c r="U435">
        <v>1</v>
      </c>
      <c r="V435">
        <v>5</v>
      </c>
    </row>
    <row r="436" spans="1:22" x14ac:dyDescent="0.3">
      <c r="A436" t="s">
        <v>677</v>
      </c>
      <c r="B436" t="s">
        <v>221</v>
      </c>
      <c r="C436" t="s">
        <v>40</v>
      </c>
      <c r="D436" t="s">
        <v>49</v>
      </c>
      <c r="E436" t="s">
        <v>71</v>
      </c>
      <c r="F436" t="s">
        <v>54</v>
      </c>
      <c r="G436" t="s">
        <v>43</v>
      </c>
      <c r="H436" t="s">
        <v>29</v>
      </c>
      <c r="I436" t="s">
        <v>60</v>
      </c>
      <c r="J436">
        <v>98</v>
      </c>
      <c r="K436">
        <v>0</v>
      </c>
      <c r="L436">
        <v>13</v>
      </c>
      <c r="M436">
        <v>153</v>
      </c>
      <c r="N436">
        <v>146</v>
      </c>
      <c r="O436">
        <v>95.4</v>
      </c>
      <c r="P436">
        <v>99.4</v>
      </c>
      <c r="Q436">
        <v>94.4</v>
      </c>
      <c r="R436">
        <v>5</v>
      </c>
      <c r="S436">
        <v>7.7</v>
      </c>
      <c r="T436" t="s">
        <v>46</v>
      </c>
      <c r="U436">
        <v>1</v>
      </c>
      <c r="V436">
        <v>2</v>
      </c>
    </row>
    <row r="437" spans="1:22" x14ac:dyDescent="0.3">
      <c r="A437" t="s">
        <v>678</v>
      </c>
      <c r="B437" t="s">
        <v>679</v>
      </c>
      <c r="C437" t="s">
        <v>24</v>
      </c>
      <c r="D437" t="s">
        <v>49</v>
      </c>
      <c r="E437" t="s">
        <v>67</v>
      </c>
      <c r="F437" t="s">
        <v>54</v>
      </c>
      <c r="G437" t="s">
        <v>76</v>
      </c>
      <c r="H437" t="s">
        <v>44</v>
      </c>
      <c r="I437" t="s">
        <v>64</v>
      </c>
      <c r="J437">
        <v>94</v>
      </c>
      <c r="K437">
        <v>1</v>
      </c>
      <c r="L437">
        <v>23</v>
      </c>
      <c r="M437">
        <v>115</v>
      </c>
      <c r="N437">
        <v>106</v>
      </c>
      <c r="O437">
        <v>92.2</v>
      </c>
      <c r="P437">
        <v>89.2</v>
      </c>
      <c r="Q437">
        <v>88.2</v>
      </c>
      <c r="R437">
        <v>4.2</v>
      </c>
      <c r="S437">
        <v>7.5</v>
      </c>
      <c r="T437" t="s">
        <v>46</v>
      </c>
      <c r="U437">
        <v>2</v>
      </c>
      <c r="V437">
        <v>0</v>
      </c>
    </row>
    <row r="438" spans="1:22" x14ac:dyDescent="0.3">
      <c r="A438" t="s">
        <v>680</v>
      </c>
      <c r="B438" t="s">
        <v>504</v>
      </c>
      <c r="C438" t="s">
        <v>24</v>
      </c>
      <c r="D438" t="s">
        <v>25</v>
      </c>
      <c r="E438" t="s">
        <v>71</v>
      </c>
      <c r="F438" t="s">
        <v>42</v>
      </c>
      <c r="G438" t="s">
        <v>76</v>
      </c>
      <c r="H438" t="s">
        <v>29</v>
      </c>
      <c r="I438" t="s">
        <v>64</v>
      </c>
      <c r="J438">
        <v>82</v>
      </c>
      <c r="K438">
        <v>4</v>
      </c>
      <c r="L438">
        <v>0</v>
      </c>
      <c r="M438">
        <v>146</v>
      </c>
      <c r="N438">
        <v>136</v>
      </c>
      <c r="O438">
        <v>93.2</v>
      </c>
      <c r="P438">
        <v>89.2</v>
      </c>
      <c r="Q438">
        <v>87.2</v>
      </c>
      <c r="R438">
        <v>4.2</v>
      </c>
      <c r="S438">
        <v>7.8</v>
      </c>
      <c r="T438" t="s">
        <v>46</v>
      </c>
      <c r="U438">
        <v>0</v>
      </c>
      <c r="V438">
        <v>3</v>
      </c>
    </row>
    <row r="439" spans="1:22" x14ac:dyDescent="0.3">
      <c r="A439" t="s">
        <v>681</v>
      </c>
      <c r="B439" t="s">
        <v>94</v>
      </c>
      <c r="C439" t="s">
        <v>40</v>
      </c>
      <c r="D439" t="s">
        <v>49</v>
      </c>
      <c r="E439" t="s">
        <v>34</v>
      </c>
      <c r="F439" t="s">
        <v>27</v>
      </c>
      <c r="G439" t="s">
        <v>28</v>
      </c>
      <c r="H439" t="s">
        <v>56</v>
      </c>
      <c r="I439" t="s">
        <v>64</v>
      </c>
      <c r="J439">
        <v>83</v>
      </c>
      <c r="K439">
        <v>4</v>
      </c>
      <c r="L439">
        <v>22</v>
      </c>
      <c r="M439">
        <v>177</v>
      </c>
      <c r="N439">
        <v>162</v>
      </c>
      <c r="O439">
        <v>91.5</v>
      </c>
      <c r="P439">
        <v>89.5</v>
      </c>
      <c r="Q439">
        <v>83.5</v>
      </c>
      <c r="R439">
        <v>4.2</v>
      </c>
      <c r="S439">
        <v>8.5</v>
      </c>
      <c r="T439" t="s">
        <v>46</v>
      </c>
      <c r="U439">
        <v>1</v>
      </c>
      <c r="V439">
        <v>12</v>
      </c>
    </row>
    <row r="440" spans="1:22" x14ac:dyDescent="0.3">
      <c r="A440" t="s">
        <v>682</v>
      </c>
      <c r="B440" t="s">
        <v>248</v>
      </c>
      <c r="C440" t="s">
        <v>40</v>
      </c>
      <c r="D440" t="s">
        <v>49</v>
      </c>
      <c r="E440" t="s">
        <v>34</v>
      </c>
      <c r="F440" t="s">
        <v>42</v>
      </c>
      <c r="G440" t="s">
        <v>43</v>
      </c>
      <c r="H440" t="s">
        <v>44</v>
      </c>
      <c r="I440" t="s">
        <v>57</v>
      </c>
      <c r="J440">
        <v>94</v>
      </c>
      <c r="K440">
        <v>1</v>
      </c>
      <c r="L440">
        <v>25</v>
      </c>
      <c r="M440">
        <v>150</v>
      </c>
      <c r="N440">
        <v>138</v>
      </c>
      <c r="O440">
        <v>92</v>
      </c>
      <c r="P440">
        <v>91</v>
      </c>
      <c r="Q440">
        <v>97</v>
      </c>
      <c r="R440">
        <v>4.3</v>
      </c>
      <c r="S440">
        <v>8</v>
      </c>
      <c r="T440" t="s">
        <v>46</v>
      </c>
      <c r="U440">
        <v>1</v>
      </c>
      <c r="V440">
        <v>3</v>
      </c>
    </row>
    <row r="441" spans="1:22" x14ac:dyDescent="0.3">
      <c r="A441" t="s">
        <v>683</v>
      </c>
      <c r="B441" t="s">
        <v>684</v>
      </c>
      <c r="C441" t="s">
        <v>24</v>
      </c>
      <c r="D441" t="s">
        <v>49</v>
      </c>
      <c r="E441" t="s">
        <v>67</v>
      </c>
      <c r="F441" t="s">
        <v>27</v>
      </c>
      <c r="G441" t="s">
        <v>36</v>
      </c>
      <c r="H441" t="s">
        <v>44</v>
      </c>
      <c r="I441" t="s">
        <v>51</v>
      </c>
      <c r="J441">
        <v>95</v>
      </c>
      <c r="K441">
        <v>1</v>
      </c>
      <c r="L441">
        <v>24</v>
      </c>
      <c r="M441">
        <v>138</v>
      </c>
      <c r="N441">
        <v>134</v>
      </c>
      <c r="O441">
        <v>97.1</v>
      </c>
      <c r="P441">
        <v>95.1</v>
      </c>
      <c r="Q441">
        <v>94.1</v>
      </c>
      <c r="R441">
        <v>4.5999999999999996</v>
      </c>
      <c r="S441">
        <v>7.7</v>
      </c>
      <c r="T441" t="s">
        <v>46</v>
      </c>
      <c r="U441">
        <v>0</v>
      </c>
      <c r="V441">
        <v>10</v>
      </c>
    </row>
    <row r="442" spans="1:22" x14ac:dyDescent="0.3">
      <c r="A442" t="s">
        <v>685</v>
      </c>
      <c r="B442" t="s">
        <v>480</v>
      </c>
      <c r="C442" t="s">
        <v>40</v>
      </c>
      <c r="D442" t="s">
        <v>49</v>
      </c>
      <c r="E442" t="s">
        <v>50</v>
      </c>
      <c r="F442" t="s">
        <v>54</v>
      </c>
      <c r="G442" t="s">
        <v>36</v>
      </c>
      <c r="H442" t="s">
        <v>29</v>
      </c>
      <c r="I442" t="s">
        <v>64</v>
      </c>
      <c r="J442">
        <v>82</v>
      </c>
      <c r="K442">
        <v>4</v>
      </c>
      <c r="L442">
        <v>18</v>
      </c>
      <c r="M442">
        <v>159</v>
      </c>
      <c r="N442">
        <v>155</v>
      </c>
      <c r="O442">
        <v>97.5</v>
      </c>
      <c r="P442">
        <v>97.5</v>
      </c>
      <c r="Q442">
        <v>105.5</v>
      </c>
      <c r="R442">
        <v>5</v>
      </c>
      <c r="S442">
        <v>7.6</v>
      </c>
      <c r="T442" t="s">
        <v>46</v>
      </c>
      <c r="U442">
        <v>2</v>
      </c>
      <c r="V442">
        <v>9</v>
      </c>
    </row>
    <row r="443" spans="1:22" x14ac:dyDescent="0.3">
      <c r="A443" t="s">
        <v>686</v>
      </c>
      <c r="B443" t="s">
        <v>224</v>
      </c>
      <c r="C443" t="s">
        <v>40</v>
      </c>
      <c r="D443" t="s">
        <v>25</v>
      </c>
      <c r="E443" t="s">
        <v>67</v>
      </c>
      <c r="F443" t="s">
        <v>54</v>
      </c>
      <c r="G443" t="s">
        <v>55</v>
      </c>
      <c r="H443" t="s">
        <v>56</v>
      </c>
      <c r="I443" t="s">
        <v>51</v>
      </c>
      <c r="J443">
        <v>86</v>
      </c>
      <c r="K443">
        <v>3</v>
      </c>
      <c r="L443">
        <v>6</v>
      </c>
      <c r="M443">
        <v>177</v>
      </c>
      <c r="N443">
        <v>159</v>
      </c>
      <c r="O443">
        <v>89.8</v>
      </c>
      <c r="P443">
        <v>93.8</v>
      </c>
      <c r="Q443">
        <v>92.8</v>
      </c>
      <c r="R443">
        <v>4.7</v>
      </c>
      <c r="S443">
        <v>8.5</v>
      </c>
      <c r="T443" t="s">
        <v>31</v>
      </c>
      <c r="U443">
        <v>6</v>
      </c>
      <c r="V443">
        <v>6</v>
      </c>
    </row>
    <row r="444" spans="1:22" x14ac:dyDescent="0.3">
      <c r="A444" t="s">
        <v>687</v>
      </c>
      <c r="B444" t="s">
        <v>98</v>
      </c>
      <c r="C444" t="s">
        <v>40</v>
      </c>
      <c r="D444" t="s">
        <v>25</v>
      </c>
      <c r="E444" t="s">
        <v>67</v>
      </c>
      <c r="F444" t="s">
        <v>91</v>
      </c>
      <c r="G444" t="s">
        <v>28</v>
      </c>
      <c r="H444" t="s">
        <v>56</v>
      </c>
      <c r="I444" t="s">
        <v>45</v>
      </c>
      <c r="J444">
        <v>91</v>
      </c>
      <c r="K444">
        <v>2</v>
      </c>
      <c r="L444">
        <v>2</v>
      </c>
      <c r="M444">
        <v>147</v>
      </c>
      <c r="N444">
        <v>127</v>
      </c>
      <c r="O444">
        <v>86.4</v>
      </c>
      <c r="P444">
        <v>82.4</v>
      </c>
      <c r="Q444">
        <v>90.4</v>
      </c>
      <c r="R444">
        <v>3.8</v>
      </c>
      <c r="S444">
        <v>8.6</v>
      </c>
      <c r="T444" t="s">
        <v>31</v>
      </c>
      <c r="U444">
        <v>7</v>
      </c>
      <c r="V444">
        <v>9</v>
      </c>
    </row>
    <row r="445" spans="1:22" x14ac:dyDescent="0.3">
      <c r="A445" t="s">
        <v>688</v>
      </c>
      <c r="B445" t="s">
        <v>689</v>
      </c>
      <c r="C445" t="s">
        <v>24</v>
      </c>
      <c r="D445" t="s">
        <v>25</v>
      </c>
      <c r="E445" t="s">
        <v>26</v>
      </c>
      <c r="F445" t="s">
        <v>35</v>
      </c>
      <c r="G445" t="s">
        <v>36</v>
      </c>
      <c r="H445" t="s">
        <v>44</v>
      </c>
      <c r="I445" t="s">
        <v>92</v>
      </c>
      <c r="J445">
        <v>82</v>
      </c>
      <c r="K445">
        <v>4</v>
      </c>
      <c r="L445">
        <v>12</v>
      </c>
      <c r="M445">
        <v>170</v>
      </c>
      <c r="N445">
        <v>147</v>
      </c>
      <c r="O445">
        <v>86.5</v>
      </c>
      <c r="P445">
        <v>88.5</v>
      </c>
      <c r="Q445">
        <v>78.5</v>
      </c>
      <c r="R445">
        <v>4.0999999999999996</v>
      </c>
      <c r="S445">
        <v>8.6999999999999993</v>
      </c>
      <c r="T445" t="s">
        <v>31</v>
      </c>
      <c r="U445">
        <v>6</v>
      </c>
      <c r="V445">
        <v>8</v>
      </c>
    </row>
    <row r="446" spans="1:22" x14ac:dyDescent="0.3">
      <c r="A446" t="s">
        <v>690</v>
      </c>
      <c r="B446" t="s">
        <v>409</v>
      </c>
      <c r="C446" t="s">
        <v>24</v>
      </c>
      <c r="D446" t="s">
        <v>49</v>
      </c>
      <c r="E446" t="s">
        <v>67</v>
      </c>
      <c r="F446" t="s">
        <v>72</v>
      </c>
      <c r="G446" t="s">
        <v>63</v>
      </c>
      <c r="H446" t="s">
        <v>56</v>
      </c>
      <c r="I446" t="s">
        <v>37</v>
      </c>
      <c r="J446">
        <v>94</v>
      </c>
      <c r="K446">
        <v>1</v>
      </c>
      <c r="L446">
        <v>10</v>
      </c>
      <c r="M446">
        <v>96</v>
      </c>
      <c r="N446">
        <v>83</v>
      </c>
      <c r="O446">
        <v>86.5</v>
      </c>
      <c r="P446">
        <v>87.5</v>
      </c>
      <c r="Q446">
        <v>93.5</v>
      </c>
      <c r="R446">
        <v>4.3</v>
      </c>
      <c r="S446">
        <v>8.4</v>
      </c>
      <c r="T446" t="s">
        <v>31</v>
      </c>
      <c r="U446">
        <v>3</v>
      </c>
      <c r="V446">
        <v>11</v>
      </c>
    </row>
    <row r="447" spans="1:22" x14ac:dyDescent="0.3">
      <c r="A447" t="s">
        <v>691</v>
      </c>
      <c r="B447" t="s">
        <v>332</v>
      </c>
      <c r="C447" t="s">
        <v>40</v>
      </c>
      <c r="D447" t="s">
        <v>25</v>
      </c>
      <c r="E447" t="s">
        <v>67</v>
      </c>
      <c r="F447" t="s">
        <v>42</v>
      </c>
      <c r="G447" t="s">
        <v>43</v>
      </c>
      <c r="H447" t="s">
        <v>29</v>
      </c>
      <c r="I447" t="s">
        <v>64</v>
      </c>
      <c r="J447">
        <v>82</v>
      </c>
      <c r="K447">
        <v>4</v>
      </c>
      <c r="L447">
        <v>13</v>
      </c>
      <c r="M447">
        <v>92</v>
      </c>
      <c r="N447">
        <v>79</v>
      </c>
      <c r="O447">
        <v>85.9</v>
      </c>
      <c r="P447">
        <v>85.9</v>
      </c>
      <c r="Q447">
        <v>79.900000000000006</v>
      </c>
      <c r="R447">
        <v>3.9</v>
      </c>
      <c r="S447">
        <v>8.6</v>
      </c>
      <c r="T447" t="s">
        <v>31</v>
      </c>
      <c r="U447">
        <v>6</v>
      </c>
      <c r="V447">
        <v>0</v>
      </c>
    </row>
    <row r="448" spans="1:22" x14ac:dyDescent="0.3">
      <c r="A448" t="s">
        <v>692</v>
      </c>
      <c r="B448" t="s">
        <v>208</v>
      </c>
      <c r="C448" t="s">
        <v>24</v>
      </c>
      <c r="D448" t="s">
        <v>25</v>
      </c>
      <c r="E448" t="s">
        <v>41</v>
      </c>
      <c r="F448" t="s">
        <v>42</v>
      </c>
      <c r="G448" t="s">
        <v>76</v>
      </c>
      <c r="H448" t="s">
        <v>56</v>
      </c>
      <c r="I448" t="s">
        <v>37</v>
      </c>
      <c r="J448">
        <v>87</v>
      </c>
      <c r="K448">
        <v>3</v>
      </c>
      <c r="L448">
        <v>9</v>
      </c>
      <c r="M448">
        <v>127</v>
      </c>
      <c r="N448">
        <v>107</v>
      </c>
      <c r="O448">
        <v>84.3</v>
      </c>
      <c r="P448">
        <v>80.3</v>
      </c>
      <c r="Q448">
        <v>89.3</v>
      </c>
      <c r="R448">
        <v>3.4</v>
      </c>
      <c r="S448">
        <v>8.8000000000000007</v>
      </c>
      <c r="T448" t="s">
        <v>31</v>
      </c>
      <c r="U448">
        <v>5</v>
      </c>
      <c r="V448">
        <v>9</v>
      </c>
    </row>
    <row r="449" spans="1:22" x14ac:dyDescent="0.3">
      <c r="A449" t="s">
        <v>693</v>
      </c>
      <c r="B449" t="s">
        <v>475</v>
      </c>
      <c r="C449" t="s">
        <v>24</v>
      </c>
      <c r="D449" t="s">
        <v>49</v>
      </c>
      <c r="E449" t="s">
        <v>26</v>
      </c>
      <c r="F449" t="s">
        <v>72</v>
      </c>
      <c r="G449" t="s">
        <v>76</v>
      </c>
      <c r="H449" t="s">
        <v>29</v>
      </c>
      <c r="I449" t="s">
        <v>30</v>
      </c>
      <c r="J449">
        <v>82</v>
      </c>
      <c r="K449">
        <v>4</v>
      </c>
      <c r="L449">
        <v>13</v>
      </c>
      <c r="M449">
        <v>148</v>
      </c>
      <c r="N449">
        <v>131</v>
      </c>
      <c r="O449">
        <v>88.5</v>
      </c>
      <c r="P449">
        <v>86.5</v>
      </c>
      <c r="Q449">
        <v>93.5</v>
      </c>
      <c r="R449">
        <v>3.9</v>
      </c>
      <c r="S449">
        <v>8.3000000000000007</v>
      </c>
      <c r="T449" t="s">
        <v>31</v>
      </c>
      <c r="U449">
        <v>4</v>
      </c>
      <c r="V449">
        <v>2</v>
      </c>
    </row>
    <row r="450" spans="1:22" x14ac:dyDescent="0.3">
      <c r="A450" t="s">
        <v>694</v>
      </c>
      <c r="B450" t="s">
        <v>119</v>
      </c>
      <c r="C450" t="s">
        <v>40</v>
      </c>
      <c r="D450" t="s">
        <v>49</v>
      </c>
      <c r="E450" t="s">
        <v>34</v>
      </c>
      <c r="F450" t="s">
        <v>91</v>
      </c>
      <c r="G450" t="s">
        <v>76</v>
      </c>
      <c r="H450" t="s">
        <v>56</v>
      </c>
      <c r="I450" t="s">
        <v>68</v>
      </c>
      <c r="J450">
        <v>82</v>
      </c>
      <c r="K450">
        <v>4</v>
      </c>
      <c r="L450">
        <v>13</v>
      </c>
      <c r="M450">
        <v>99</v>
      </c>
      <c r="N450">
        <v>81</v>
      </c>
      <c r="O450">
        <v>81.8</v>
      </c>
      <c r="P450">
        <v>78.8</v>
      </c>
      <c r="Q450">
        <v>82.8</v>
      </c>
      <c r="R450">
        <v>3.5</v>
      </c>
      <c r="S450">
        <v>9</v>
      </c>
      <c r="T450" t="s">
        <v>31</v>
      </c>
      <c r="U450">
        <v>7</v>
      </c>
      <c r="V450">
        <v>7</v>
      </c>
    </row>
    <row r="451" spans="1:22" x14ac:dyDescent="0.3">
      <c r="A451" t="s">
        <v>695</v>
      </c>
      <c r="B451" t="s">
        <v>108</v>
      </c>
      <c r="C451" t="s">
        <v>40</v>
      </c>
      <c r="D451" t="s">
        <v>49</v>
      </c>
      <c r="E451" t="s">
        <v>67</v>
      </c>
      <c r="F451" t="s">
        <v>35</v>
      </c>
      <c r="G451" t="s">
        <v>28</v>
      </c>
      <c r="H451" t="s">
        <v>44</v>
      </c>
      <c r="I451" t="s">
        <v>82</v>
      </c>
      <c r="J451">
        <v>95</v>
      </c>
      <c r="K451">
        <v>1</v>
      </c>
      <c r="L451">
        <v>16</v>
      </c>
      <c r="M451">
        <v>149</v>
      </c>
      <c r="N451">
        <v>125</v>
      </c>
      <c r="O451">
        <v>83.9</v>
      </c>
      <c r="P451">
        <v>83.9</v>
      </c>
      <c r="Q451">
        <v>85.9</v>
      </c>
      <c r="R451">
        <v>3.9</v>
      </c>
      <c r="S451">
        <v>8.4</v>
      </c>
      <c r="T451" t="s">
        <v>31</v>
      </c>
      <c r="U451">
        <v>4</v>
      </c>
      <c r="V451">
        <v>6</v>
      </c>
    </row>
    <row r="452" spans="1:22" x14ac:dyDescent="0.3">
      <c r="A452" t="s">
        <v>696</v>
      </c>
      <c r="B452" t="s">
        <v>580</v>
      </c>
      <c r="C452" t="s">
        <v>24</v>
      </c>
      <c r="D452" t="s">
        <v>25</v>
      </c>
      <c r="E452" t="s">
        <v>71</v>
      </c>
      <c r="F452" t="s">
        <v>54</v>
      </c>
      <c r="G452" t="s">
        <v>63</v>
      </c>
      <c r="H452" t="s">
        <v>44</v>
      </c>
      <c r="I452" t="s">
        <v>68</v>
      </c>
      <c r="J452">
        <v>96</v>
      </c>
      <c r="K452">
        <v>1</v>
      </c>
      <c r="L452">
        <v>17</v>
      </c>
      <c r="M452">
        <v>134</v>
      </c>
      <c r="N452">
        <v>120</v>
      </c>
      <c r="O452">
        <v>89.6</v>
      </c>
      <c r="P452">
        <v>86.6</v>
      </c>
      <c r="Q452">
        <v>93.6</v>
      </c>
      <c r="R452">
        <v>4.2</v>
      </c>
      <c r="S452">
        <v>7.8</v>
      </c>
      <c r="T452" t="s">
        <v>31</v>
      </c>
      <c r="U452">
        <v>5</v>
      </c>
      <c r="V452">
        <v>11</v>
      </c>
    </row>
    <row r="453" spans="1:22" x14ac:dyDescent="0.3">
      <c r="A453" t="s">
        <v>697</v>
      </c>
      <c r="B453" t="s">
        <v>230</v>
      </c>
      <c r="C453" t="s">
        <v>24</v>
      </c>
      <c r="D453" t="s">
        <v>49</v>
      </c>
      <c r="E453" t="s">
        <v>41</v>
      </c>
      <c r="F453" t="s">
        <v>35</v>
      </c>
      <c r="G453" t="s">
        <v>28</v>
      </c>
      <c r="H453" t="s">
        <v>29</v>
      </c>
      <c r="I453" t="s">
        <v>79</v>
      </c>
      <c r="J453">
        <v>94</v>
      </c>
      <c r="K453">
        <v>1</v>
      </c>
      <c r="L453">
        <v>2</v>
      </c>
      <c r="M453">
        <v>139</v>
      </c>
      <c r="N453">
        <v>124</v>
      </c>
      <c r="O453">
        <v>89.2</v>
      </c>
      <c r="P453">
        <v>90.2</v>
      </c>
      <c r="Q453">
        <v>90.2</v>
      </c>
      <c r="R453">
        <v>4.3</v>
      </c>
      <c r="S453">
        <v>8.6999999999999993</v>
      </c>
      <c r="T453" t="s">
        <v>31</v>
      </c>
      <c r="U453">
        <v>5</v>
      </c>
      <c r="V453">
        <v>6</v>
      </c>
    </row>
    <row r="454" spans="1:22" x14ac:dyDescent="0.3">
      <c r="A454" t="s">
        <v>698</v>
      </c>
      <c r="B454" t="s">
        <v>569</v>
      </c>
      <c r="C454" t="s">
        <v>24</v>
      </c>
      <c r="D454" t="s">
        <v>49</v>
      </c>
      <c r="E454" t="s">
        <v>26</v>
      </c>
      <c r="F454" t="s">
        <v>91</v>
      </c>
      <c r="G454" t="s">
        <v>55</v>
      </c>
      <c r="H454" t="s">
        <v>56</v>
      </c>
      <c r="I454" t="s">
        <v>45</v>
      </c>
      <c r="J454">
        <v>85</v>
      </c>
      <c r="K454">
        <v>3</v>
      </c>
      <c r="L454">
        <v>4</v>
      </c>
      <c r="M454">
        <v>116</v>
      </c>
      <c r="N454">
        <v>107</v>
      </c>
      <c r="O454">
        <v>92.2</v>
      </c>
      <c r="P454">
        <v>96.2</v>
      </c>
      <c r="Q454">
        <v>94.2</v>
      </c>
      <c r="R454">
        <v>4.7</v>
      </c>
      <c r="S454">
        <v>8.3000000000000007</v>
      </c>
      <c r="T454" t="s">
        <v>46</v>
      </c>
      <c r="U454">
        <v>0</v>
      </c>
      <c r="V454">
        <v>1</v>
      </c>
    </row>
    <row r="455" spans="1:22" x14ac:dyDescent="0.3">
      <c r="A455" t="s">
        <v>699</v>
      </c>
      <c r="B455" t="s">
        <v>361</v>
      </c>
      <c r="C455" t="s">
        <v>24</v>
      </c>
      <c r="D455" t="s">
        <v>25</v>
      </c>
      <c r="E455" t="s">
        <v>67</v>
      </c>
      <c r="F455" t="s">
        <v>42</v>
      </c>
      <c r="G455" t="s">
        <v>55</v>
      </c>
      <c r="H455" t="s">
        <v>56</v>
      </c>
      <c r="I455" t="s">
        <v>51</v>
      </c>
      <c r="J455">
        <v>98</v>
      </c>
      <c r="K455">
        <v>0</v>
      </c>
      <c r="L455">
        <v>13</v>
      </c>
      <c r="M455">
        <v>129</v>
      </c>
      <c r="N455">
        <v>105</v>
      </c>
      <c r="O455">
        <v>81.400000000000006</v>
      </c>
      <c r="P455">
        <v>81.400000000000006</v>
      </c>
      <c r="Q455">
        <v>86.4</v>
      </c>
      <c r="R455">
        <v>3.7</v>
      </c>
      <c r="S455">
        <v>9.1999999999999993</v>
      </c>
      <c r="T455" t="s">
        <v>31</v>
      </c>
      <c r="U455">
        <v>3</v>
      </c>
      <c r="V455">
        <v>5</v>
      </c>
    </row>
    <row r="456" spans="1:22" x14ac:dyDescent="0.3">
      <c r="A456" t="s">
        <v>700</v>
      </c>
      <c r="B456" t="s">
        <v>430</v>
      </c>
      <c r="C456" t="s">
        <v>40</v>
      </c>
      <c r="D456" t="s">
        <v>25</v>
      </c>
      <c r="E456" t="s">
        <v>67</v>
      </c>
      <c r="F456" t="s">
        <v>42</v>
      </c>
      <c r="G456" t="s">
        <v>76</v>
      </c>
      <c r="H456" t="s">
        <v>29</v>
      </c>
      <c r="I456" t="s">
        <v>64</v>
      </c>
      <c r="J456">
        <v>100</v>
      </c>
      <c r="K456">
        <v>0</v>
      </c>
      <c r="L456">
        <v>9</v>
      </c>
      <c r="M456">
        <v>174</v>
      </c>
      <c r="N456">
        <v>153</v>
      </c>
      <c r="O456">
        <v>87.9</v>
      </c>
      <c r="P456">
        <v>83.9</v>
      </c>
      <c r="Q456">
        <v>88.9</v>
      </c>
      <c r="R456">
        <v>4</v>
      </c>
      <c r="S456">
        <v>8.1999999999999993</v>
      </c>
      <c r="T456" t="s">
        <v>31</v>
      </c>
      <c r="U456">
        <v>5</v>
      </c>
      <c r="V456">
        <v>4</v>
      </c>
    </row>
    <row r="457" spans="1:22" x14ac:dyDescent="0.3">
      <c r="A457" t="s">
        <v>701</v>
      </c>
      <c r="B457" t="s">
        <v>275</v>
      </c>
      <c r="C457" t="s">
        <v>40</v>
      </c>
      <c r="D457" t="s">
        <v>25</v>
      </c>
      <c r="E457" t="s">
        <v>26</v>
      </c>
      <c r="F457" t="s">
        <v>35</v>
      </c>
      <c r="G457" t="s">
        <v>28</v>
      </c>
      <c r="H457" t="s">
        <v>29</v>
      </c>
      <c r="I457" t="s">
        <v>82</v>
      </c>
      <c r="J457">
        <v>85</v>
      </c>
      <c r="K457">
        <v>3</v>
      </c>
      <c r="L457">
        <v>22</v>
      </c>
      <c r="M457">
        <v>129</v>
      </c>
      <c r="N457">
        <v>106</v>
      </c>
      <c r="O457">
        <v>82.2</v>
      </c>
      <c r="P457">
        <v>82.2</v>
      </c>
      <c r="Q457">
        <v>84.2</v>
      </c>
      <c r="R457">
        <v>3.6</v>
      </c>
      <c r="S457">
        <v>8.6</v>
      </c>
      <c r="T457" t="s">
        <v>31</v>
      </c>
      <c r="U457">
        <v>5</v>
      </c>
      <c r="V457">
        <v>9</v>
      </c>
    </row>
    <row r="458" spans="1:22" x14ac:dyDescent="0.3">
      <c r="A458" t="s">
        <v>702</v>
      </c>
      <c r="B458" t="s">
        <v>587</v>
      </c>
      <c r="C458" t="s">
        <v>24</v>
      </c>
      <c r="D458" t="s">
        <v>25</v>
      </c>
      <c r="E458" t="s">
        <v>71</v>
      </c>
      <c r="F458" t="s">
        <v>27</v>
      </c>
      <c r="G458" t="s">
        <v>63</v>
      </c>
      <c r="H458" t="s">
        <v>56</v>
      </c>
      <c r="I458" t="s">
        <v>37</v>
      </c>
      <c r="J458">
        <v>89</v>
      </c>
      <c r="K458">
        <v>2</v>
      </c>
      <c r="L458">
        <v>22</v>
      </c>
      <c r="M458">
        <v>139</v>
      </c>
      <c r="N458">
        <v>127</v>
      </c>
      <c r="O458">
        <v>91.4</v>
      </c>
      <c r="P458">
        <v>88.4</v>
      </c>
      <c r="Q458">
        <v>93.4</v>
      </c>
      <c r="R458">
        <v>4.0999999999999996</v>
      </c>
      <c r="S458">
        <v>8.1</v>
      </c>
      <c r="T458" t="s">
        <v>46</v>
      </c>
      <c r="U458">
        <v>1</v>
      </c>
      <c r="V458">
        <v>9</v>
      </c>
    </row>
    <row r="459" spans="1:22" x14ac:dyDescent="0.3">
      <c r="A459" t="s">
        <v>703</v>
      </c>
      <c r="B459" t="s">
        <v>472</v>
      </c>
      <c r="C459" t="s">
        <v>24</v>
      </c>
      <c r="D459" t="s">
        <v>25</v>
      </c>
      <c r="E459" t="s">
        <v>34</v>
      </c>
      <c r="F459" t="s">
        <v>27</v>
      </c>
      <c r="G459" t="s">
        <v>43</v>
      </c>
      <c r="H459" t="s">
        <v>29</v>
      </c>
      <c r="I459" t="s">
        <v>64</v>
      </c>
      <c r="J459">
        <v>85</v>
      </c>
      <c r="K459">
        <v>3</v>
      </c>
      <c r="L459">
        <v>3</v>
      </c>
      <c r="M459">
        <v>117</v>
      </c>
      <c r="N459">
        <v>111</v>
      </c>
      <c r="O459">
        <v>94.9</v>
      </c>
      <c r="P459">
        <v>95.9</v>
      </c>
      <c r="Q459">
        <v>98.9</v>
      </c>
      <c r="R459">
        <v>4.7</v>
      </c>
      <c r="S459">
        <v>7.4</v>
      </c>
      <c r="T459" t="s">
        <v>46</v>
      </c>
      <c r="U459">
        <v>0</v>
      </c>
      <c r="V459">
        <v>6</v>
      </c>
    </row>
    <row r="460" spans="1:22" x14ac:dyDescent="0.3">
      <c r="A460" t="s">
        <v>704</v>
      </c>
      <c r="B460" t="s">
        <v>705</v>
      </c>
      <c r="C460" t="s">
        <v>24</v>
      </c>
      <c r="D460" t="s">
        <v>25</v>
      </c>
      <c r="E460" t="s">
        <v>50</v>
      </c>
      <c r="F460" t="s">
        <v>42</v>
      </c>
      <c r="G460" t="s">
        <v>36</v>
      </c>
      <c r="H460" t="s">
        <v>44</v>
      </c>
      <c r="I460" t="s">
        <v>82</v>
      </c>
      <c r="J460">
        <v>87</v>
      </c>
      <c r="K460">
        <v>3</v>
      </c>
      <c r="L460">
        <v>20</v>
      </c>
      <c r="M460">
        <v>117</v>
      </c>
      <c r="N460">
        <v>100</v>
      </c>
      <c r="O460">
        <v>85.5</v>
      </c>
      <c r="P460">
        <v>88.5</v>
      </c>
      <c r="Q460">
        <v>86.5</v>
      </c>
      <c r="R460">
        <v>4.2</v>
      </c>
      <c r="S460">
        <v>8.1999999999999993</v>
      </c>
      <c r="T460" t="s">
        <v>31</v>
      </c>
      <c r="U460">
        <v>4</v>
      </c>
      <c r="V460">
        <v>9</v>
      </c>
    </row>
    <row r="461" spans="1:22" x14ac:dyDescent="0.3">
      <c r="A461" t="s">
        <v>706</v>
      </c>
      <c r="B461" t="s">
        <v>62</v>
      </c>
      <c r="C461" t="s">
        <v>24</v>
      </c>
      <c r="D461" t="s">
        <v>25</v>
      </c>
      <c r="E461" t="s">
        <v>50</v>
      </c>
      <c r="F461" t="s">
        <v>72</v>
      </c>
      <c r="G461" t="s">
        <v>43</v>
      </c>
      <c r="H461" t="s">
        <v>56</v>
      </c>
      <c r="I461" t="s">
        <v>82</v>
      </c>
      <c r="J461">
        <v>88</v>
      </c>
      <c r="K461">
        <v>3</v>
      </c>
      <c r="L461">
        <v>20</v>
      </c>
      <c r="M461">
        <v>93</v>
      </c>
      <c r="N461">
        <v>91</v>
      </c>
      <c r="O461">
        <v>97.8</v>
      </c>
      <c r="P461">
        <v>99.8</v>
      </c>
      <c r="Q461">
        <v>93.8</v>
      </c>
      <c r="R461">
        <v>5</v>
      </c>
      <c r="S461">
        <v>7.6</v>
      </c>
      <c r="T461" t="s">
        <v>46</v>
      </c>
      <c r="U461">
        <v>2</v>
      </c>
      <c r="V461">
        <v>10</v>
      </c>
    </row>
    <row r="462" spans="1:22" x14ac:dyDescent="0.3">
      <c r="A462" t="s">
        <v>707</v>
      </c>
      <c r="B462" t="s">
        <v>166</v>
      </c>
      <c r="C462" t="s">
        <v>40</v>
      </c>
      <c r="D462" t="s">
        <v>49</v>
      </c>
      <c r="E462" t="s">
        <v>26</v>
      </c>
      <c r="F462" t="s">
        <v>35</v>
      </c>
      <c r="G462" t="s">
        <v>63</v>
      </c>
      <c r="H462" t="s">
        <v>29</v>
      </c>
      <c r="I462" t="s">
        <v>73</v>
      </c>
      <c r="J462">
        <v>85</v>
      </c>
      <c r="K462">
        <v>3</v>
      </c>
      <c r="L462">
        <v>0</v>
      </c>
      <c r="M462">
        <v>167</v>
      </c>
      <c r="N462">
        <v>137</v>
      </c>
      <c r="O462">
        <v>82</v>
      </c>
      <c r="P462">
        <v>83</v>
      </c>
      <c r="Q462">
        <v>77</v>
      </c>
      <c r="R462">
        <v>3.9</v>
      </c>
      <c r="S462">
        <v>9.1</v>
      </c>
      <c r="T462" t="s">
        <v>31</v>
      </c>
      <c r="U462">
        <v>4</v>
      </c>
      <c r="V462">
        <v>9</v>
      </c>
    </row>
    <row r="463" spans="1:22" x14ac:dyDescent="0.3">
      <c r="A463" t="s">
        <v>708</v>
      </c>
      <c r="B463" t="s">
        <v>709</v>
      </c>
      <c r="C463" t="s">
        <v>40</v>
      </c>
      <c r="D463" t="s">
        <v>25</v>
      </c>
      <c r="E463" t="s">
        <v>67</v>
      </c>
      <c r="F463" t="s">
        <v>27</v>
      </c>
      <c r="G463" t="s">
        <v>28</v>
      </c>
      <c r="H463" t="s">
        <v>44</v>
      </c>
      <c r="I463" t="s">
        <v>30</v>
      </c>
      <c r="J463">
        <v>86</v>
      </c>
      <c r="K463">
        <v>3</v>
      </c>
      <c r="L463">
        <v>15</v>
      </c>
      <c r="M463">
        <v>165</v>
      </c>
      <c r="N463">
        <v>149</v>
      </c>
      <c r="O463">
        <v>90.3</v>
      </c>
      <c r="P463">
        <v>92.3</v>
      </c>
      <c r="Q463">
        <v>93.3</v>
      </c>
      <c r="R463">
        <v>4.4000000000000004</v>
      </c>
      <c r="S463">
        <v>8.4</v>
      </c>
      <c r="T463" t="s">
        <v>46</v>
      </c>
      <c r="U463">
        <v>0</v>
      </c>
      <c r="V463">
        <v>9</v>
      </c>
    </row>
    <row r="464" spans="1:22" x14ac:dyDescent="0.3">
      <c r="A464" t="s">
        <v>710</v>
      </c>
      <c r="B464" t="s">
        <v>436</v>
      </c>
      <c r="C464" t="s">
        <v>24</v>
      </c>
      <c r="D464" t="s">
        <v>25</v>
      </c>
      <c r="E464" t="s">
        <v>41</v>
      </c>
      <c r="F464" t="s">
        <v>91</v>
      </c>
      <c r="G464" t="s">
        <v>43</v>
      </c>
      <c r="H464" t="s">
        <v>56</v>
      </c>
      <c r="I464" t="s">
        <v>37</v>
      </c>
      <c r="J464">
        <v>90</v>
      </c>
      <c r="K464">
        <v>2</v>
      </c>
      <c r="L464">
        <v>1</v>
      </c>
      <c r="M464">
        <v>149</v>
      </c>
      <c r="N464">
        <v>127</v>
      </c>
      <c r="O464">
        <v>85.2</v>
      </c>
      <c r="P464">
        <v>81.2</v>
      </c>
      <c r="Q464">
        <v>78.2</v>
      </c>
      <c r="R464">
        <v>3.6</v>
      </c>
      <c r="S464">
        <v>8.5</v>
      </c>
      <c r="T464" t="s">
        <v>31</v>
      </c>
      <c r="U464">
        <v>6</v>
      </c>
      <c r="V464">
        <v>4</v>
      </c>
    </row>
    <row r="465" spans="1:22" x14ac:dyDescent="0.3">
      <c r="A465" t="s">
        <v>711</v>
      </c>
      <c r="B465" t="s">
        <v>86</v>
      </c>
      <c r="C465" t="s">
        <v>40</v>
      </c>
      <c r="D465" t="s">
        <v>49</v>
      </c>
      <c r="E465" t="s">
        <v>67</v>
      </c>
      <c r="F465" t="s">
        <v>42</v>
      </c>
      <c r="G465" t="s">
        <v>63</v>
      </c>
      <c r="H465" t="s">
        <v>44</v>
      </c>
      <c r="I465" t="s">
        <v>82</v>
      </c>
      <c r="J465">
        <v>87</v>
      </c>
      <c r="K465">
        <v>3</v>
      </c>
      <c r="L465">
        <v>16</v>
      </c>
      <c r="M465">
        <v>115</v>
      </c>
      <c r="N465">
        <v>105</v>
      </c>
      <c r="O465">
        <v>91.3</v>
      </c>
      <c r="P465">
        <v>90.3</v>
      </c>
      <c r="Q465">
        <v>87.3</v>
      </c>
      <c r="R465">
        <v>4.3</v>
      </c>
      <c r="S465">
        <v>7.8</v>
      </c>
      <c r="T465" t="s">
        <v>46</v>
      </c>
      <c r="U465">
        <v>0</v>
      </c>
      <c r="V465">
        <v>6</v>
      </c>
    </row>
    <row r="466" spans="1:22" x14ac:dyDescent="0.3">
      <c r="A466" t="s">
        <v>712</v>
      </c>
      <c r="B466" t="s">
        <v>154</v>
      </c>
      <c r="C466" t="s">
        <v>24</v>
      </c>
      <c r="D466" t="s">
        <v>49</v>
      </c>
      <c r="E466" t="s">
        <v>26</v>
      </c>
      <c r="F466" t="s">
        <v>54</v>
      </c>
      <c r="G466" t="s">
        <v>28</v>
      </c>
      <c r="H466" t="s">
        <v>44</v>
      </c>
      <c r="I466" t="s">
        <v>79</v>
      </c>
      <c r="J466">
        <v>95</v>
      </c>
      <c r="K466">
        <v>1</v>
      </c>
      <c r="L466">
        <v>15</v>
      </c>
      <c r="M466">
        <v>128</v>
      </c>
      <c r="N466">
        <v>121</v>
      </c>
      <c r="O466">
        <v>94.5</v>
      </c>
      <c r="P466">
        <v>90.5</v>
      </c>
      <c r="Q466">
        <v>90.5</v>
      </c>
      <c r="R466">
        <v>4.4000000000000004</v>
      </c>
      <c r="S466">
        <v>8.1999999999999993</v>
      </c>
      <c r="T466" t="s">
        <v>46</v>
      </c>
      <c r="U466">
        <v>2</v>
      </c>
      <c r="V466">
        <v>5</v>
      </c>
    </row>
    <row r="467" spans="1:22" x14ac:dyDescent="0.3">
      <c r="A467" t="s">
        <v>713</v>
      </c>
      <c r="B467" t="s">
        <v>230</v>
      </c>
      <c r="C467" t="s">
        <v>40</v>
      </c>
      <c r="D467" t="s">
        <v>49</v>
      </c>
      <c r="E467" t="s">
        <v>41</v>
      </c>
      <c r="F467" t="s">
        <v>72</v>
      </c>
      <c r="G467" t="s">
        <v>28</v>
      </c>
      <c r="H467" t="s">
        <v>56</v>
      </c>
      <c r="I467" t="s">
        <v>68</v>
      </c>
      <c r="J467">
        <v>100</v>
      </c>
      <c r="K467">
        <v>0</v>
      </c>
      <c r="L467">
        <v>21</v>
      </c>
      <c r="M467">
        <v>180</v>
      </c>
      <c r="N467">
        <v>168</v>
      </c>
      <c r="O467">
        <v>93.3</v>
      </c>
      <c r="P467">
        <v>94.3</v>
      </c>
      <c r="Q467">
        <v>93.3</v>
      </c>
      <c r="R467">
        <v>4.5999999999999996</v>
      </c>
      <c r="S467">
        <v>8.1</v>
      </c>
      <c r="T467" t="s">
        <v>46</v>
      </c>
      <c r="U467">
        <v>0</v>
      </c>
      <c r="V467">
        <v>0</v>
      </c>
    </row>
    <row r="468" spans="1:22" x14ac:dyDescent="0.3">
      <c r="A468" t="s">
        <v>714</v>
      </c>
      <c r="B468" t="s">
        <v>180</v>
      </c>
      <c r="C468" t="s">
        <v>24</v>
      </c>
      <c r="D468" t="s">
        <v>49</v>
      </c>
      <c r="E468" t="s">
        <v>71</v>
      </c>
      <c r="F468" t="s">
        <v>42</v>
      </c>
      <c r="G468" t="s">
        <v>55</v>
      </c>
      <c r="H468" t="s">
        <v>56</v>
      </c>
      <c r="I468" t="s">
        <v>60</v>
      </c>
      <c r="J468">
        <v>87</v>
      </c>
      <c r="K468">
        <v>3</v>
      </c>
      <c r="L468">
        <v>9</v>
      </c>
      <c r="M468">
        <v>101</v>
      </c>
      <c r="N468">
        <v>100</v>
      </c>
      <c r="O468">
        <v>99</v>
      </c>
      <c r="P468">
        <v>100</v>
      </c>
      <c r="Q468">
        <v>107</v>
      </c>
      <c r="R468">
        <v>5</v>
      </c>
      <c r="S468">
        <v>7.1</v>
      </c>
      <c r="T468" t="s">
        <v>46</v>
      </c>
      <c r="U468">
        <v>1</v>
      </c>
      <c r="V468">
        <v>8</v>
      </c>
    </row>
    <row r="469" spans="1:22" x14ac:dyDescent="0.3">
      <c r="A469" t="s">
        <v>715</v>
      </c>
      <c r="B469" t="s">
        <v>349</v>
      </c>
      <c r="C469" t="s">
        <v>40</v>
      </c>
      <c r="D469" t="s">
        <v>25</v>
      </c>
      <c r="E469" t="s">
        <v>26</v>
      </c>
      <c r="F469" t="s">
        <v>27</v>
      </c>
      <c r="G469" t="s">
        <v>28</v>
      </c>
      <c r="H469" t="s">
        <v>56</v>
      </c>
      <c r="I469" t="s">
        <v>64</v>
      </c>
      <c r="J469">
        <v>96</v>
      </c>
      <c r="K469">
        <v>1</v>
      </c>
      <c r="L469">
        <v>12</v>
      </c>
      <c r="M469">
        <v>138</v>
      </c>
      <c r="N469">
        <v>132</v>
      </c>
      <c r="O469">
        <v>95.7</v>
      </c>
      <c r="P469">
        <v>97.7</v>
      </c>
      <c r="Q469">
        <v>94.7</v>
      </c>
      <c r="R469">
        <v>4.9000000000000004</v>
      </c>
      <c r="S469">
        <v>8.1</v>
      </c>
      <c r="T469" t="s">
        <v>46</v>
      </c>
      <c r="U469">
        <v>1</v>
      </c>
      <c r="V469">
        <v>6</v>
      </c>
    </row>
    <row r="470" spans="1:22" x14ac:dyDescent="0.3">
      <c r="A470" t="s">
        <v>716</v>
      </c>
      <c r="B470" t="s">
        <v>332</v>
      </c>
      <c r="C470" t="s">
        <v>24</v>
      </c>
      <c r="D470" t="s">
        <v>49</v>
      </c>
      <c r="E470" t="s">
        <v>50</v>
      </c>
      <c r="F470" t="s">
        <v>72</v>
      </c>
      <c r="G470" t="s">
        <v>28</v>
      </c>
      <c r="H470" t="s">
        <v>29</v>
      </c>
      <c r="I470" t="s">
        <v>51</v>
      </c>
      <c r="J470">
        <v>92</v>
      </c>
      <c r="K470">
        <v>2</v>
      </c>
      <c r="L470">
        <v>10</v>
      </c>
      <c r="M470">
        <v>138</v>
      </c>
      <c r="N470">
        <v>133</v>
      </c>
      <c r="O470">
        <v>96.4</v>
      </c>
      <c r="P470">
        <v>93.4</v>
      </c>
      <c r="Q470">
        <v>103.4</v>
      </c>
      <c r="R470">
        <v>4.5999999999999996</v>
      </c>
      <c r="S470">
        <v>7.6</v>
      </c>
      <c r="T470" t="s">
        <v>46</v>
      </c>
      <c r="U470">
        <v>2</v>
      </c>
      <c r="V470">
        <v>8</v>
      </c>
    </row>
    <row r="471" spans="1:22" x14ac:dyDescent="0.3">
      <c r="A471" t="s">
        <v>717</v>
      </c>
      <c r="B471" t="s">
        <v>364</v>
      </c>
      <c r="C471" t="s">
        <v>40</v>
      </c>
      <c r="D471" t="s">
        <v>25</v>
      </c>
      <c r="E471" t="s">
        <v>67</v>
      </c>
      <c r="F471" t="s">
        <v>54</v>
      </c>
      <c r="G471" t="s">
        <v>63</v>
      </c>
      <c r="H471" t="s">
        <v>44</v>
      </c>
      <c r="I471" t="s">
        <v>57</v>
      </c>
      <c r="J471">
        <v>82</v>
      </c>
      <c r="K471">
        <v>4</v>
      </c>
      <c r="L471">
        <v>12</v>
      </c>
      <c r="M471">
        <v>166</v>
      </c>
      <c r="N471">
        <v>144</v>
      </c>
      <c r="O471">
        <v>86.7</v>
      </c>
      <c r="P471">
        <v>88.7</v>
      </c>
      <c r="Q471">
        <v>94.7</v>
      </c>
      <c r="R471">
        <v>4.2</v>
      </c>
      <c r="S471">
        <v>8.9</v>
      </c>
      <c r="T471" t="s">
        <v>31</v>
      </c>
      <c r="U471">
        <v>6</v>
      </c>
      <c r="V471">
        <v>5</v>
      </c>
    </row>
    <row r="472" spans="1:22" x14ac:dyDescent="0.3">
      <c r="A472" t="s">
        <v>718</v>
      </c>
      <c r="B472" t="s">
        <v>90</v>
      </c>
      <c r="C472" t="s">
        <v>24</v>
      </c>
      <c r="D472" t="s">
        <v>49</v>
      </c>
      <c r="E472" t="s">
        <v>67</v>
      </c>
      <c r="F472" t="s">
        <v>72</v>
      </c>
      <c r="G472" t="s">
        <v>76</v>
      </c>
      <c r="H472" t="s">
        <v>29</v>
      </c>
      <c r="I472" t="s">
        <v>64</v>
      </c>
      <c r="J472">
        <v>98</v>
      </c>
      <c r="K472">
        <v>0</v>
      </c>
      <c r="L472">
        <v>7</v>
      </c>
      <c r="M472">
        <v>101</v>
      </c>
      <c r="N472">
        <v>87</v>
      </c>
      <c r="O472">
        <v>86.1</v>
      </c>
      <c r="P472">
        <v>88.1</v>
      </c>
      <c r="Q472">
        <v>89.1</v>
      </c>
      <c r="R472">
        <v>4.0999999999999996</v>
      </c>
      <c r="S472">
        <v>8.9</v>
      </c>
      <c r="T472" t="s">
        <v>31</v>
      </c>
      <c r="U472">
        <v>3</v>
      </c>
      <c r="V472">
        <v>4</v>
      </c>
    </row>
    <row r="473" spans="1:22" x14ac:dyDescent="0.3">
      <c r="A473" t="s">
        <v>719</v>
      </c>
      <c r="B473" t="s">
        <v>269</v>
      </c>
      <c r="C473" t="s">
        <v>24</v>
      </c>
      <c r="D473" t="s">
        <v>25</v>
      </c>
      <c r="E473" t="s">
        <v>26</v>
      </c>
      <c r="F473" t="s">
        <v>72</v>
      </c>
      <c r="G473" t="s">
        <v>43</v>
      </c>
      <c r="H473" t="s">
        <v>56</v>
      </c>
      <c r="I473" t="s">
        <v>79</v>
      </c>
      <c r="J473">
        <v>82</v>
      </c>
      <c r="K473">
        <v>4</v>
      </c>
      <c r="L473">
        <v>8</v>
      </c>
      <c r="M473">
        <v>165</v>
      </c>
      <c r="N473">
        <v>160</v>
      </c>
      <c r="O473">
        <v>97</v>
      </c>
      <c r="P473">
        <v>99</v>
      </c>
      <c r="Q473">
        <v>97</v>
      </c>
      <c r="R473">
        <v>5</v>
      </c>
      <c r="S473">
        <v>7.3</v>
      </c>
      <c r="T473" t="s">
        <v>46</v>
      </c>
      <c r="U473">
        <v>0</v>
      </c>
      <c r="V473">
        <v>0</v>
      </c>
    </row>
    <row r="474" spans="1:22" x14ac:dyDescent="0.3">
      <c r="A474" t="s">
        <v>720</v>
      </c>
      <c r="B474" t="s">
        <v>246</v>
      </c>
      <c r="C474" t="s">
        <v>24</v>
      </c>
      <c r="D474" t="s">
        <v>25</v>
      </c>
      <c r="E474" t="s">
        <v>34</v>
      </c>
      <c r="F474" t="s">
        <v>42</v>
      </c>
      <c r="G474" t="s">
        <v>63</v>
      </c>
      <c r="H474" t="s">
        <v>56</v>
      </c>
      <c r="I474" t="s">
        <v>73</v>
      </c>
      <c r="J474">
        <v>85</v>
      </c>
      <c r="K474">
        <v>3</v>
      </c>
      <c r="L474">
        <v>23</v>
      </c>
      <c r="M474">
        <v>133</v>
      </c>
      <c r="N474">
        <v>116</v>
      </c>
      <c r="O474">
        <v>87.2</v>
      </c>
      <c r="P474">
        <v>91.2</v>
      </c>
      <c r="Q474">
        <v>85.2</v>
      </c>
      <c r="R474">
        <v>4.5999999999999996</v>
      </c>
      <c r="S474">
        <v>8</v>
      </c>
      <c r="T474" t="s">
        <v>31</v>
      </c>
      <c r="U474">
        <v>4</v>
      </c>
      <c r="V474">
        <v>5</v>
      </c>
    </row>
    <row r="475" spans="1:22" x14ac:dyDescent="0.3">
      <c r="A475" t="s">
        <v>721</v>
      </c>
      <c r="B475" t="s">
        <v>652</v>
      </c>
      <c r="C475" t="s">
        <v>40</v>
      </c>
      <c r="D475" t="s">
        <v>49</v>
      </c>
      <c r="E475" t="s">
        <v>50</v>
      </c>
      <c r="F475" t="s">
        <v>72</v>
      </c>
      <c r="G475" t="s">
        <v>28</v>
      </c>
      <c r="H475" t="s">
        <v>44</v>
      </c>
      <c r="I475" t="s">
        <v>92</v>
      </c>
      <c r="J475">
        <v>86</v>
      </c>
      <c r="K475">
        <v>3</v>
      </c>
      <c r="L475">
        <v>22</v>
      </c>
      <c r="M475">
        <v>134</v>
      </c>
      <c r="N475">
        <v>125</v>
      </c>
      <c r="O475">
        <v>93.3</v>
      </c>
      <c r="P475">
        <v>91.3</v>
      </c>
      <c r="Q475">
        <v>96.3</v>
      </c>
      <c r="R475">
        <v>4.4000000000000004</v>
      </c>
      <c r="S475">
        <v>7.8</v>
      </c>
      <c r="T475" t="s">
        <v>46</v>
      </c>
      <c r="U475">
        <v>2</v>
      </c>
      <c r="V475">
        <v>11</v>
      </c>
    </row>
    <row r="476" spans="1:22" x14ac:dyDescent="0.3">
      <c r="A476" t="s">
        <v>722</v>
      </c>
      <c r="B476" t="s">
        <v>115</v>
      </c>
      <c r="C476" t="s">
        <v>24</v>
      </c>
      <c r="D476" t="s">
        <v>49</v>
      </c>
      <c r="E476" t="s">
        <v>71</v>
      </c>
      <c r="F476" t="s">
        <v>35</v>
      </c>
      <c r="G476" t="s">
        <v>76</v>
      </c>
      <c r="H476" t="s">
        <v>44</v>
      </c>
      <c r="I476" t="s">
        <v>92</v>
      </c>
      <c r="J476">
        <v>98</v>
      </c>
      <c r="K476">
        <v>0</v>
      </c>
      <c r="L476">
        <v>18</v>
      </c>
      <c r="M476">
        <v>125</v>
      </c>
      <c r="N476">
        <v>116</v>
      </c>
      <c r="O476">
        <v>92.8</v>
      </c>
      <c r="P476">
        <v>90.8</v>
      </c>
      <c r="Q476">
        <v>97.8</v>
      </c>
      <c r="R476">
        <v>4.5</v>
      </c>
      <c r="S476">
        <v>7.8</v>
      </c>
      <c r="T476" t="s">
        <v>46</v>
      </c>
      <c r="U476">
        <v>1</v>
      </c>
      <c r="V476">
        <v>7</v>
      </c>
    </row>
    <row r="477" spans="1:22" x14ac:dyDescent="0.3">
      <c r="A477" t="s">
        <v>723</v>
      </c>
      <c r="B477" t="s">
        <v>128</v>
      </c>
      <c r="C477" t="s">
        <v>24</v>
      </c>
      <c r="D477" t="s">
        <v>25</v>
      </c>
      <c r="E477" t="s">
        <v>41</v>
      </c>
      <c r="F477" t="s">
        <v>72</v>
      </c>
      <c r="G477" t="s">
        <v>76</v>
      </c>
      <c r="H477" t="s">
        <v>44</v>
      </c>
      <c r="I477" t="s">
        <v>73</v>
      </c>
      <c r="J477">
        <v>89</v>
      </c>
      <c r="K477">
        <v>2</v>
      </c>
      <c r="L477">
        <v>22</v>
      </c>
      <c r="M477">
        <v>106</v>
      </c>
      <c r="N477">
        <v>96</v>
      </c>
      <c r="O477">
        <v>90.6</v>
      </c>
      <c r="P477">
        <v>93.6</v>
      </c>
      <c r="Q477">
        <v>93.6</v>
      </c>
      <c r="R477">
        <v>4.5</v>
      </c>
      <c r="S477">
        <v>7.9</v>
      </c>
      <c r="T477" t="s">
        <v>46</v>
      </c>
      <c r="U477">
        <v>2</v>
      </c>
      <c r="V477">
        <v>1</v>
      </c>
    </row>
    <row r="478" spans="1:22" x14ac:dyDescent="0.3">
      <c r="A478" t="s">
        <v>724</v>
      </c>
      <c r="B478" t="s">
        <v>285</v>
      </c>
      <c r="C478" t="s">
        <v>24</v>
      </c>
      <c r="D478" t="s">
        <v>49</v>
      </c>
      <c r="E478" t="s">
        <v>71</v>
      </c>
      <c r="F478" t="s">
        <v>35</v>
      </c>
      <c r="G478" t="s">
        <v>43</v>
      </c>
      <c r="H478" t="s">
        <v>29</v>
      </c>
      <c r="I478" t="s">
        <v>37</v>
      </c>
      <c r="J478">
        <v>90</v>
      </c>
      <c r="K478">
        <v>2</v>
      </c>
      <c r="L478">
        <v>12</v>
      </c>
      <c r="M478">
        <v>103</v>
      </c>
      <c r="N478">
        <v>85</v>
      </c>
      <c r="O478">
        <v>82.5</v>
      </c>
      <c r="P478">
        <v>82.5</v>
      </c>
      <c r="Q478">
        <v>78.5</v>
      </c>
      <c r="R478">
        <v>3.6</v>
      </c>
      <c r="S478">
        <v>8.3000000000000007</v>
      </c>
      <c r="T478" t="s">
        <v>31</v>
      </c>
      <c r="U478">
        <v>6</v>
      </c>
      <c r="V478">
        <v>7</v>
      </c>
    </row>
    <row r="479" spans="1:22" x14ac:dyDescent="0.3">
      <c r="A479" t="s">
        <v>725</v>
      </c>
      <c r="B479" t="s">
        <v>190</v>
      </c>
      <c r="C479" t="s">
        <v>40</v>
      </c>
      <c r="D479" t="s">
        <v>25</v>
      </c>
      <c r="E479" t="s">
        <v>71</v>
      </c>
      <c r="F479" t="s">
        <v>72</v>
      </c>
      <c r="G479" t="s">
        <v>63</v>
      </c>
      <c r="H479" t="s">
        <v>29</v>
      </c>
      <c r="I479" t="s">
        <v>45</v>
      </c>
      <c r="J479">
        <v>100</v>
      </c>
      <c r="K479">
        <v>0</v>
      </c>
      <c r="L479">
        <v>5</v>
      </c>
      <c r="M479">
        <v>93</v>
      </c>
      <c r="N479">
        <v>92</v>
      </c>
      <c r="O479">
        <v>98.9</v>
      </c>
      <c r="P479">
        <v>100</v>
      </c>
      <c r="Q479">
        <v>92.9</v>
      </c>
      <c r="R479">
        <v>5</v>
      </c>
      <c r="S479">
        <v>7.6</v>
      </c>
      <c r="T479" t="s">
        <v>46</v>
      </c>
      <c r="U479">
        <v>2</v>
      </c>
      <c r="V479">
        <v>11</v>
      </c>
    </row>
    <row r="480" spans="1:22" x14ac:dyDescent="0.3">
      <c r="A480" t="s">
        <v>726</v>
      </c>
      <c r="B480" t="s">
        <v>156</v>
      </c>
      <c r="C480" t="s">
        <v>24</v>
      </c>
      <c r="D480" t="s">
        <v>25</v>
      </c>
      <c r="E480" t="s">
        <v>41</v>
      </c>
      <c r="F480" t="s">
        <v>42</v>
      </c>
      <c r="G480" t="s">
        <v>28</v>
      </c>
      <c r="H480" t="s">
        <v>56</v>
      </c>
      <c r="I480" t="s">
        <v>92</v>
      </c>
      <c r="J480">
        <v>83</v>
      </c>
      <c r="K480">
        <v>4</v>
      </c>
      <c r="L480">
        <v>10</v>
      </c>
      <c r="M480">
        <v>136</v>
      </c>
      <c r="N480">
        <v>116</v>
      </c>
      <c r="O480">
        <v>85.3</v>
      </c>
      <c r="P480">
        <v>83.3</v>
      </c>
      <c r="Q480">
        <v>83.3</v>
      </c>
      <c r="R480">
        <v>3.8</v>
      </c>
      <c r="S480">
        <v>8.3000000000000007</v>
      </c>
      <c r="T480" t="s">
        <v>31</v>
      </c>
      <c r="U480">
        <v>6</v>
      </c>
      <c r="V480">
        <v>9</v>
      </c>
    </row>
    <row r="481" spans="1:22" x14ac:dyDescent="0.3">
      <c r="A481" t="s">
        <v>727</v>
      </c>
      <c r="B481" t="s">
        <v>389</v>
      </c>
      <c r="C481" t="s">
        <v>40</v>
      </c>
      <c r="D481" t="s">
        <v>25</v>
      </c>
      <c r="E481" t="s">
        <v>50</v>
      </c>
      <c r="F481" t="s">
        <v>72</v>
      </c>
      <c r="G481" t="s">
        <v>63</v>
      </c>
      <c r="H481" t="s">
        <v>56</v>
      </c>
      <c r="I481" t="s">
        <v>57</v>
      </c>
      <c r="J481">
        <v>94</v>
      </c>
      <c r="K481">
        <v>1</v>
      </c>
      <c r="L481">
        <v>2</v>
      </c>
      <c r="M481">
        <v>152</v>
      </c>
      <c r="N481">
        <v>127</v>
      </c>
      <c r="O481">
        <v>83.6</v>
      </c>
      <c r="P481">
        <v>83.6</v>
      </c>
      <c r="Q481">
        <v>86.6</v>
      </c>
      <c r="R481">
        <v>3.8</v>
      </c>
      <c r="S481">
        <v>8.9</v>
      </c>
      <c r="T481" t="s">
        <v>31</v>
      </c>
      <c r="U481">
        <v>4</v>
      </c>
      <c r="V481">
        <v>9</v>
      </c>
    </row>
    <row r="482" spans="1:22" x14ac:dyDescent="0.3">
      <c r="A482" t="s">
        <v>728</v>
      </c>
      <c r="B482" t="s">
        <v>423</v>
      </c>
      <c r="C482" t="s">
        <v>40</v>
      </c>
      <c r="D482" t="s">
        <v>25</v>
      </c>
      <c r="E482" t="s">
        <v>67</v>
      </c>
      <c r="F482" t="s">
        <v>72</v>
      </c>
      <c r="G482" t="s">
        <v>28</v>
      </c>
      <c r="H482" t="s">
        <v>56</v>
      </c>
      <c r="I482" t="s">
        <v>82</v>
      </c>
      <c r="J482">
        <v>89</v>
      </c>
      <c r="K482">
        <v>2</v>
      </c>
      <c r="L482">
        <v>12</v>
      </c>
      <c r="M482">
        <v>167</v>
      </c>
      <c r="N482">
        <v>144</v>
      </c>
      <c r="O482">
        <v>86.2</v>
      </c>
      <c r="P482">
        <v>89.2</v>
      </c>
      <c r="Q482">
        <v>94.2</v>
      </c>
      <c r="R482">
        <v>4.3</v>
      </c>
      <c r="S482">
        <v>8.8000000000000007</v>
      </c>
      <c r="T482" t="s">
        <v>31</v>
      </c>
      <c r="U482">
        <v>4</v>
      </c>
      <c r="V482">
        <v>0</v>
      </c>
    </row>
    <row r="483" spans="1:22" x14ac:dyDescent="0.3">
      <c r="A483" t="s">
        <v>729</v>
      </c>
      <c r="B483" t="s">
        <v>264</v>
      </c>
      <c r="C483" t="s">
        <v>24</v>
      </c>
      <c r="D483" t="s">
        <v>25</v>
      </c>
      <c r="E483" t="s">
        <v>67</v>
      </c>
      <c r="F483" t="s">
        <v>27</v>
      </c>
      <c r="G483" t="s">
        <v>36</v>
      </c>
      <c r="H483" t="s">
        <v>29</v>
      </c>
      <c r="I483" t="s">
        <v>30</v>
      </c>
      <c r="J483">
        <v>99</v>
      </c>
      <c r="K483">
        <v>0</v>
      </c>
      <c r="L483">
        <v>7</v>
      </c>
      <c r="M483">
        <v>116</v>
      </c>
      <c r="N483">
        <v>105</v>
      </c>
      <c r="O483">
        <v>90.5</v>
      </c>
      <c r="P483">
        <v>89.5</v>
      </c>
      <c r="Q483">
        <v>98.5</v>
      </c>
      <c r="R483">
        <v>4.2</v>
      </c>
      <c r="S483">
        <v>8</v>
      </c>
      <c r="T483" t="s">
        <v>46</v>
      </c>
      <c r="U483">
        <v>0</v>
      </c>
      <c r="V483">
        <v>12</v>
      </c>
    </row>
    <row r="484" spans="1:22" x14ac:dyDescent="0.3">
      <c r="A484" t="s">
        <v>730</v>
      </c>
      <c r="B484" t="s">
        <v>113</v>
      </c>
      <c r="C484" t="s">
        <v>40</v>
      </c>
      <c r="D484" t="s">
        <v>25</v>
      </c>
      <c r="E484" t="s">
        <v>50</v>
      </c>
      <c r="F484" t="s">
        <v>72</v>
      </c>
      <c r="G484" t="s">
        <v>63</v>
      </c>
      <c r="H484" t="s">
        <v>29</v>
      </c>
      <c r="I484" t="s">
        <v>60</v>
      </c>
      <c r="J484">
        <v>97</v>
      </c>
      <c r="K484">
        <v>0</v>
      </c>
      <c r="L484">
        <v>22</v>
      </c>
      <c r="M484">
        <v>106</v>
      </c>
      <c r="N484">
        <v>106</v>
      </c>
      <c r="O484">
        <v>100</v>
      </c>
      <c r="P484">
        <v>100</v>
      </c>
      <c r="Q484">
        <v>108</v>
      </c>
      <c r="R484">
        <v>5</v>
      </c>
      <c r="S484">
        <v>7.6</v>
      </c>
      <c r="T484" t="s">
        <v>46</v>
      </c>
      <c r="U484">
        <v>1</v>
      </c>
      <c r="V484">
        <v>6</v>
      </c>
    </row>
    <row r="485" spans="1:22" x14ac:dyDescent="0.3">
      <c r="A485" t="s">
        <v>731</v>
      </c>
      <c r="B485" t="s">
        <v>134</v>
      </c>
      <c r="C485" t="s">
        <v>40</v>
      </c>
      <c r="D485" t="s">
        <v>49</v>
      </c>
      <c r="E485" t="s">
        <v>67</v>
      </c>
      <c r="F485" t="s">
        <v>35</v>
      </c>
      <c r="G485" t="s">
        <v>76</v>
      </c>
      <c r="H485" t="s">
        <v>29</v>
      </c>
      <c r="I485" t="s">
        <v>45</v>
      </c>
      <c r="J485">
        <v>83</v>
      </c>
      <c r="K485">
        <v>4</v>
      </c>
      <c r="L485">
        <v>19</v>
      </c>
      <c r="M485">
        <v>179</v>
      </c>
      <c r="N485">
        <v>162</v>
      </c>
      <c r="O485">
        <v>90.5</v>
      </c>
      <c r="P485">
        <v>91.5</v>
      </c>
      <c r="Q485">
        <v>98.5</v>
      </c>
      <c r="R485">
        <v>4.4000000000000004</v>
      </c>
      <c r="S485">
        <v>8.6</v>
      </c>
      <c r="T485" t="s">
        <v>46</v>
      </c>
      <c r="U485">
        <v>1</v>
      </c>
      <c r="V485">
        <v>7</v>
      </c>
    </row>
    <row r="486" spans="1:22" x14ac:dyDescent="0.3">
      <c r="A486" t="s">
        <v>732</v>
      </c>
      <c r="B486" t="s">
        <v>609</v>
      </c>
      <c r="C486" t="s">
        <v>40</v>
      </c>
      <c r="D486" t="s">
        <v>25</v>
      </c>
      <c r="E486" t="s">
        <v>50</v>
      </c>
      <c r="F486" t="s">
        <v>72</v>
      </c>
      <c r="G486" t="s">
        <v>43</v>
      </c>
      <c r="H486" t="s">
        <v>44</v>
      </c>
      <c r="I486" t="s">
        <v>60</v>
      </c>
      <c r="J486">
        <v>82</v>
      </c>
      <c r="K486">
        <v>4</v>
      </c>
      <c r="L486">
        <v>17</v>
      </c>
      <c r="M486">
        <v>167</v>
      </c>
      <c r="N486">
        <v>162</v>
      </c>
      <c r="O486">
        <v>97</v>
      </c>
      <c r="P486">
        <v>98</v>
      </c>
      <c r="Q486">
        <v>104</v>
      </c>
      <c r="R486">
        <v>5</v>
      </c>
      <c r="S486">
        <v>7.8</v>
      </c>
      <c r="T486" t="s">
        <v>46</v>
      </c>
      <c r="U486">
        <v>2</v>
      </c>
      <c r="V486">
        <v>12</v>
      </c>
    </row>
    <row r="487" spans="1:22" x14ac:dyDescent="0.3">
      <c r="A487" t="s">
        <v>733</v>
      </c>
      <c r="B487" t="s">
        <v>602</v>
      </c>
      <c r="C487" t="s">
        <v>40</v>
      </c>
      <c r="D487" t="s">
        <v>49</v>
      </c>
      <c r="E487" t="s">
        <v>26</v>
      </c>
      <c r="F487" t="s">
        <v>35</v>
      </c>
      <c r="G487" t="s">
        <v>76</v>
      </c>
      <c r="H487" t="s">
        <v>29</v>
      </c>
      <c r="I487" t="s">
        <v>60</v>
      </c>
      <c r="J487">
        <v>87</v>
      </c>
      <c r="K487">
        <v>3</v>
      </c>
      <c r="L487">
        <v>9</v>
      </c>
      <c r="M487">
        <v>152</v>
      </c>
      <c r="N487">
        <v>134</v>
      </c>
      <c r="O487">
        <v>88.2</v>
      </c>
      <c r="P487">
        <v>90.2</v>
      </c>
      <c r="Q487">
        <v>90.2</v>
      </c>
      <c r="R487">
        <v>4.4000000000000004</v>
      </c>
      <c r="S487">
        <v>8.1999999999999993</v>
      </c>
      <c r="T487" t="s">
        <v>31</v>
      </c>
      <c r="U487">
        <v>7</v>
      </c>
      <c r="V487">
        <v>10</v>
      </c>
    </row>
    <row r="488" spans="1:22" x14ac:dyDescent="0.3">
      <c r="A488" t="s">
        <v>734</v>
      </c>
      <c r="B488" t="s">
        <v>376</v>
      </c>
      <c r="C488" t="s">
        <v>24</v>
      </c>
      <c r="D488" t="s">
        <v>25</v>
      </c>
      <c r="E488" t="s">
        <v>71</v>
      </c>
      <c r="F488" t="s">
        <v>54</v>
      </c>
      <c r="G488" t="s">
        <v>43</v>
      </c>
      <c r="H488" t="s">
        <v>44</v>
      </c>
      <c r="I488" t="s">
        <v>57</v>
      </c>
      <c r="J488">
        <v>87</v>
      </c>
      <c r="K488">
        <v>3</v>
      </c>
      <c r="L488">
        <v>24</v>
      </c>
      <c r="M488">
        <v>177</v>
      </c>
      <c r="N488">
        <v>168</v>
      </c>
      <c r="O488">
        <v>94.9</v>
      </c>
      <c r="P488">
        <v>96.9</v>
      </c>
      <c r="Q488">
        <v>99.9</v>
      </c>
      <c r="R488">
        <v>5</v>
      </c>
      <c r="S488">
        <v>7.3</v>
      </c>
      <c r="T488" t="s">
        <v>46</v>
      </c>
      <c r="U488">
        <v>2</v>
      </c>
      <c r="V488">
        <v>5</v>
      </c>
    </row>
    <row r="489" spans="1:22" x14ac:dyDescent="0.3">
      <c r="A489" t="s">
        <v>735</v>
      </c>
      <c r="B489" t="s">
        <v>156</v>
      </c>
      <c r="C489" t="s">
        <v>24</v>
      </c>
      <c r="D489" t="s">
        <v>49</v>
      </c>
      <c r="E489" t="s">
        <v>41</v>
      </c>
      <c r="F489" t="s">
        <v>35</v>
      </c>
      <c r="G489" t="s">
        <v>76</v>
      </c>
      <c r="H489" t="s">
        <v>56</v>
      </c>
      <c r="I489" t="s">
        <v>60</v>
      </c>
      <c r="J489">
        <v>95</v>
      </c>
      <c r="K489">
        <v>1</v>
      </c>
      <c r="L489">
        <v>1</v>
      </c>
      <c r="M489">
        <v>168</v>
      </c>
      <c r="N489">
        <v>147</v>
      </c>
      <c r="O489">
        <v>87.5</v>
      </c>
      <c r="P489">
        <v>91.5</v>
      </c>
      <c r="Q489">
        <v>85.5</v>
      </c>
      <c r="R489">
        <v>4.3</v>
      </c>
      <c r="S489">
        <v>8.8000000000000007</v>
      </c>
      <c r="T489" t="s">
        <v>31</v>
      </c>
      <c r="U489">
        <v>3</v>
      </c>
      <c r="V489">
        <v>1</v>
      </c>
    </row>
    <row r="490" spans="1:22" x14ac:dyDescent="0.3">
      <c r="A490" t="s">
        <v>736</v>
      </c>
      <c r="B490" t="s">
        <v>210</v>
      </c>
      <c r="C490" t="s">
        <v>40</v>
      </c>
      <c r="D490" t="s">
        <v>25</v>
      </c>
      <c r="E490" t="s">
        <v>71</v>
      </c>
      <c r="F490" t="s">
        <v>35</v>
      </c>
      <c r="G490" t="s">
        <v>63</v>
      </c>
      <c r="H490" t="s">
        <v>44</v>
      </c>
      <c r="I490" t="s">
        <v>60</v>
      </c>
      <c r="J490">
        <v>82</v>
      </c>
      <c r="K490">
        <v>4</v>
      </c>
      <c r="L490">
        <v>7</v>
      </c>
      <c r="M490">
        <v>175</v>
      </c>
      <c r="N490">
        <v>148</v>
      </c>
      <c r="O490">
        <v>84.6</v>
      </c>
      <c r="P490">
        <v>85.6</v>
      </c>
      <c r="Q490">
        <v>83.6</v>
      </c>
      <c r="R490">
        <v>3.9</v>
      </c>
      <c r="S490">
        <v>8.5</v>
      </c>
      <c r="T490" t="s">
        <v>31</v>
      </c>
      <c r="U490">
        <v>7</v>
      </c>
      <c r="V490">
        <v>10</v>
      </c>
    </row>
    <row r="491" spans="1:22" x14ac:dyDescent="0.3">
      <c r="A491" t="s">
        <v>737</v>
      </c>
      <c r="B491" t="s">
        <v>128</v>
      </c>
      <c r="C491" t="s">
        <v>40</v>
      </c>
      <c r="D491" t="s">
        <v>49</v>
      </c>
      <c r="E491" t="s">
        <v>67</v>
      </c>
      <c r="F491" t="s">
        <v>54</v>
      </c>
      <c r="G491" t="s">
        <v>76</v>
      </c>
      <c r="H491" t="s">
        <v>29</v>
      </c>
      <c r="I491" t="s">
        <v>64</v>
      </c>
      <c r="J491">
        <v>83</v>
      </c>
      <c r="K491">
        <v>4</v>
      </c>
      <c r="L491">
        <v>10</v>
      </c>
      <c r="M491">
        <v>149</v>
      </c>
      <c r="N491">
        <v>140</v>
      </c>
      <c r="O491">
        <v>94</v>
      </c>
      <c r="P491">
        <v>93</v>
      </c>
      <c r="Q491">
        <v>101</v>
      </c>
      <c r="R491">
        <v>4.5999999999999996</v>
      </c>
      <c r="S491">
        <v>8.3000000000000007</v>
      </c>
      <c r="T491" t="s">
        <v>46</v>
      </c>
      <c r="U491">
        <v>0</v>
      </c>
      <c r="V491">
        <v>8</v>
      </c>
    </row>
    <row r="492" spans="1:22" x14ac:dyDescent="0.3">
      <c r="A492" t="s">
        <v>738</v>
      </c>
      <c r="B492" t="s">
        <v>342</v>
      </c>
      <c r="C492" t="s">
        <v>24</v>
      </c>
      <c r="D492" t="s">
        <v>25</v>
      </c>
      <c r="E492" t="s">
        <v>50</v>
      </c>
      <c r="F492" t="s">
        <v>27</v>
      </c>
      <c r="G492" t="s">
        <v>63</v>
      </c>
      <c r="H492" t="s">
        <v>44</v>
      </c>
      <c r="I492" t="s">
        <v>60</v>
      </c>
      <c r="J492">
        <v>95</v>
      </c>
      <c r="K492">
        <v>1</v>
      </c>
      <c r="L492">
        <v>7</v>
      </c>
      <c r="M492">
        <v>177</v>
      </c>
      <c r="N492">
        <v>172</v>
      </c>
      <c r="O492">
        <v>97.2</v>
      </c>
      <c r="P492">
        <v>97.2</v>
      </c>
      <c r="Q492">
        <v>89.2</v>
      </c>
      <c r="R492">
        <v>4.9000000000000004</v>
      </c>
      <c r="S492">
        <v>7.4</v>
      </c>
      <c r="T492" t="s">
        <v>46</v>
      </c>
      <c r="U492">
        <v>0</v>
      </c>
      <c r="V492">
        <v>3</v>
      </c>
    </row>
    <row r="493" spans="1:22" x14ac:dyDescent="0.3">
      <c r="A493" t="s">
        <v>739</v>
      </c>
      <c r="B493" t="s">
        <v>580</v>
      </c>
      <c r="C493" t="s">
        <v>40</v>
      </c>
      <c r="D493" t="s">
        <v>49</v>
      </c>
      <c r="E493" t="s">
        <v>41</v>
      </c>
      <c r="F493" t="s">
        <v>42</v>
      </c>
      <c r="G493" t="s">
        <v>43</v>
      </c>
      <c r="H493" t="s">
        <v>29</v>
      </c>
      <c r="I493" t="s">
        <v>30</v>
      </c>
      <c r="J493">
        <v>92</v>
      </c>
      <c r="K493">
        <v>2</v>
      </c>
      <c r="L493">
        <v>7</v>
      </c>
      <c r="M493">
        <v>95</v>
      </c>
      <c r="N493">
        <v>85</v>
      </c>
      <c r="O493">
        <v>89.5</v>
      </c>
      <c r="P493">
        <v>89.5</v>
      </c>
      <c r="Q493">
        <v>97.5</v>
      </c>
      <c r="R493">
        <v>4.3</v>
      </c>
      <c r="S493">
        <v>8</v>
      </c>
      <c r="T493" t="s">
        <v>31</v>
      </c>
      <c r="U493">
        <v>3</v>
      </c>
      <c r="V493">
        <v>3</v>
      </c>
    </row>
    <row r="494" spans="1:22" x14ac:dyDescent="0.3">
      <c r="A494" t="s">
        <v>740</v>
      </c>
      <c r="B494" t="s">
        <v>376</v>
      </c>
      <c r="C494" t="s">
        <v>40</v>
      </c>
      <c r="D494" t="s">
        <v>25</v>
      </c>
      <c r="E494" t="s">
        <v>71</v>
      </c>
      <c r="F494" t="s">
        <v>91</v>
      </c>
      <c r="G494" t="s">
        <v>28</v>
      </c>
      <c r="H494" t="s">
        <v>29</v>
      </c>
      <c r="I494" t="s">
        <v>45</v>
      </c>
      <c r="J494">
        <v>92</v>
      </c>
      <c r="K494">
        <v>2</v>
      </c>
      <c r="L494">
        <v>4</v>
      </c>
      <c r="M494">
        <v>123</v>
      </c>
      <c r="N494">
        <v>121</v>
      </c>
      <c r="O494">
        <v>98.4</v>
      </c>
      <c r="P494">
        <v>100</v>
      </c>
      <c r="Q494">
        <v>97.4</v>
      </c>
      <c r="R494">
        <v>5</v>
      </c>
      <c r="S494">
        <v>7.1</v>
      </c>
      <c r="T494" t="s">
        <v>46</v>
      </c>
      <c r="U494">
        <v>2</v>
      </c>
      <c r="V494">
        <v>8</v>
      </c>
    </row>
    <row r="495" spans="1:22" x14ac:dyDescent="0.3">
      <c r="A495" t="s">
        <v>741</v>
      </c>
      <c r="B495" t="s">
        <v>150</v>
      </c>
      <c r="C495" t="s">
        <v>24</v>
      </c>
      <c r="D495" t="s">
        <v>25</v>
      </c>
      <c r="E495" t="s">
        <v>71</v>
      </c>
      <c r="F495" t="s">
        <v>35</v>
      </c>
      <c r="G495" t="s">
        <v>28</v>
      </c>
      <c r="H495" t="s">
        <v>44</v>
      </c>
      <c r="I495" t="s">
        <v>82</v>
      </c>
      <c r="J495">
        <v>85</v>
      </c>
      <c r="K495">
        <v>3</v>
      </c>
      <c r="L495">
        <v>20</v>
      </c>
      <c r="M495">
        <v>130</v>
      </c>
      <c r="N495">
        <v>111</v>
      </c>
      <c r="O495">
        <v>85.4</v>
      </c>
      <c r="P495">
        <v>82.4</v>
      </c>
      <c r="Q495">
        <v>79.400000000000006</v>
      </c>
      <c r="R495">
        <v>3.8</v>
      </c>
      <c r="S495">
        <v>8.3000000000000007</v>
      </c>
      <c r="T495" t="s">
        <v>31</v>
      </c>
      <c r="U495">
        <v>3</v>
      </c>
      <c r="V495">
        <v>11</v>
      </c>
    </row>
    <row r="496" spans="1:22" x14ac:dyDescent="0.3">
      <c r="A496" t="s">
        <v>742</v>
      </c>
      <c r="B496" t="s">
        <v>368</v>
      </c>
      <c r="C496" t="s">
        <v>40</v>
      </c>
      <c r="D496" t="s">
        <v>49</v>
      </c>
      <c r="E496" t="s">
        <v>67</v>
      </c>
      <c r="F496" t="s">
        <v>72</v>
      </c>
      <c r="G496" t="s">
        <v>28</v>
      </c>
      <c r="H496" t="s">
        <v>56</v>
      </c>
      <c r="I496" t="s">
        <v>79</v>
      </c>
      <c r="J496">
        <v>87</v>
      </c>
      <c r="K496">
        <v>3</v>
      </c>
      <c r="L496">
        <v>2</v>
      </c>
      <c r="M496">
        <v>117</v>
      </c>
      <c r="N496">
        <v>98</v>
      </c>
      <c r="O496">
        <v>83.8</v>
      </c>
      <c r="P496">
        <v>87.8</v>
      </c>
      <c r="Q496">
        <v>85.8</v>
      </c>
      <c r="R496">
        <v>4</v>
      </c>
      <c r="S496">
        <v>8.6999999999999993</v>
      </c>
      <c r="T496" t="s">
        <v>31</v>
      </c>
      <c r="U496">
        <v>6</v>
      </c>
      <c r="V496">
        <v>6</v>
      </c>
    </row>
    <row r="497" spans="1:22" x14ac:dyDescent="0.3">
      <c r="A497" t="s">
        <v>743</v>
      </c>
      <c r="B497" t="s">
        <v>134</v>
      </c>
      <c r="C497" t="s">
        <v>24</v>
      </c>
      <c r="D497" t="s">
        <v>25</v>
      </c>
      <c r="E497" t="s">
        <v>50</v>
      </c>
      <c r="F497" t="s">
        <v>91</v>
      </c>
      <c r="G497" t="s">
        <v>28</v>
      </c>
      <c r="H497" t="s">
        <v>56</v>
      </c>
      <c r="I497" t="s">
        <v>45</v>
      </c>
      <c r="J497">
        <v>97</v>
      </c>
      <c r="K497">
        <v>0</v>
      </c>
      <c r="L497">
        <v>7</v>
      </c>
      <c r="M497">
        <v>108</v>
      </c>
      <c r="N497">
        <v>103</v>
      </c>
      <c r="O497">
        <v>95.4</v>
      </c>
      <c r="P497">
        <v>98.4</v>
      </c>
      <c r="Q497">
        <v>98.4</v>
      </c>
      <c r="R497">
        <v>5</v>
      </c>
      <c r="S497">
        <v>7.5</v>
      </c>
      <c r="T497" t="s">
        <v>46</v>
      </c>
      <c r="U497">
        <v>2</v>
      </c>
      <c r="V497">
        <v>4</v>
      </c>
    </row>
    <row r="498" spans="1:22" x14ac:dyDescent="0.3">
      <c r="A498" t="s">
        <v>744</v>
      </c>
      <c r="B498" t="s">
        <v>745</v>
      </c>
      <c r="C498" t="s">
        <v>40</v>
      </c>
      <c r="D498" t="s">
        <v>49</v>
      </c>
      <c r="E498" t="s">
        <v>26</v>
      </c>
      <c r="F498" t="s">
        <v>42</v>
      </c>
      <c r="G498" t="s">
        <v>63</v>
      </c>
      <c r="H498" t="s">
        <v>44</v>
      </c>
      <c r="I498" t="s">
        <v>82</v>
      </c>
      <c r="J498">
        <v>94</v>
      </c>
      <c r="K498">
        <v>1</v>
      </c>
      <c r="L498">
        <v>25</v>
      </c>
      <c r="M498">
        <v>164</v>
      </c>
      <c r="N498">
        <v>147</v>
      </c>
      <c r="O498">
        <v>89.6</v>
      </c>
      <c r="P498">
        <v>85.6</v>
      </c>
      <c r="Q498">
        <v>90.6</v>
      </c>
      <c r="R498">
        <v>4.0999999999999996</v>
      </c>
      <c r="S498">
        <v>8.1</v>
      </c>
      <c r="T498" t="s">
        <v>31</v>
      </c>
      <c r="U498">
        <v>6</v>
      </c>
      <c r="V498">
        <v>11</v>
      </c>
    </row>
    <row r="499" spans="1:22" x14ac:dyDescent="0.3">
      <c r="A499" t="s">
        <v>746</v>
      </c>
      <c r="B499" t="s">
        <v>747</v>
      </c>
      <c r="C499" t="s">
        <v>40</v>
      </c>
      <c r="D499" t="s">
        <v>49</v>
      </c>
      <c r="E499" t="s">
        <v>34</v>
      </c>
      <c r="F499" t="s">
        <v>91</v>
      </c>
      <c r="G499" t="s">
        <v>76</v>
      </c>
      <c r="H499" t="s">
        <v>44</v>
      </c>
      <c r="I499" t="s">
        <v>64</v>
      </c>
      <c r="J499">
        <v>93</v>
      </c>
      <c r="K499">
        <v>1</v>
      </c>
      <c r="L499">
        <v>10</v>
      </c>
      <c r="M499">
        <v>118</v>
      </c>
      <c r="N499">
        <v>105</v>
      </c>
      <c r="O499">
        <v>89</v>
      </c>
      <c r="P499">
        <v>92</v>
      </c>
      <c r="Q499">
        <v>97</v>
      </c>
      <c r="R499">
        <v>4.5999999999999996</v>
      </c>
      <c r="S499">
        <v>8</v>
      </c>
      <c r="T499" t="s">
        <v>31</v>
      </c>
      <c r="U499">
        <v>6</v>
      </c>
      <c r="V499">
        <v>12</v>
      </c>
    </row>
    <row r="500" spans="1:22" x14ac:dyDescent="0.3">
      <c r="A500" t="s">
        <v>748</v>
      </c>
      <c r="B500" t="s">
        <v>104</v>
      </c>
      <c r="C500" t="s">
        <v>40</v>
      </c>
      <c r="D500" t="s">
        <v>25</v>
      </c>
      <c r="E500" t="s">
        <v>41</v>
      </c>
      <c r="F500" t="s">
        <v>42</v>
      </c>
      <c r="G500" t="s">
        <v>55</v>
      </c>
      <c r="H500" t="s">
        <v>29</v>
      </c>
      <c r="I500" t="s">
        <v>79</v>
      </c>
      <c r="J500">
        <v>87</v>
      </c>
      <c r="K500">
        <v>3</v>
      </c>
      <c r="L500">
        <v>5</v>
      </c>
      <c r="M500">
        <v>119</v>
      </c>
      <c r="N500">
        <v>100</v>
      </c>
      <c r="O500">
        <v>84</v>
      </c>
      <c r="P500">
        <v>88</v>
      </c>
      <c r="Q500">
        <v>92</v>
      </c>
      <c r="R500">
        <v>4.2</v>
      </c>
      <c r="S500">
        <v>8.4</v>
      </c>
      <c r="T500" t="s">
        <v>31</v>
      </c>
      <c r="U500">
        <v>4</v>
      </c>
      <c r="V500">
        <v>12</v>
      </c>
    </row>
    <row r="501" spans="1:22" x14ac:dyDescent="0.3">
      <c r="A501" t="s">
        <v>749</v>
      </c>
      <c r="B501" t="s">
        <v>750</v>
      </c>
      <c r="C501" t="s">
        <v>24</v>
      </c>
      <c r="D501" t="s">
        <v>49</v>
      </c>
      <c r="E501" t="s">
        <v>26</v>
      </c>
      <c r="F501" t="s">
        <v>91</v>
      </c>
      <c r="G501" t="s">
        <v>43</v>
      </c>
      <c r="H501" t="s">
        <v>29</v>
      </c>
      <c r="I501" t="s">
        <v>64</v>
      </c>
      <c r="J501">
        <v>98</v>
      </c>
      <c r="K501">
        <v>0</v>
      </c>
      <c r="L501">
        <v>17</v>
      </c>
      <c r="M501">
        <v>117</v>
      </c>
      <c r="N501">
        <v>101</v>
      </c>
      <c r="O501">
        <v>86.3</v>
      </c>
      <c r="P501">
        <v>84.3</v>
      </c>
      <c r="Q501">
        <v>83.3</v>
      </c>
      <c r="R501">
        <v>3.9</v>
      </c>
      <c r="S501">
        <v>8.9</v>
      </c>
      <c r="T501" t="s">
        <v>31</v>
      </c>
      <c r="U501">
        <v>5</v>
      </c>
      <c r="V501">
        <v>6</v>
      </c>
    </row>
    <row r="505" spans="1:22" x14ac:dyDescent="0.3">
      <c r="J505">
        <f>COUNTA(A2:A501)-COUNTA(_xlfn.UNIQUE(A2:A501))</f>
        <v>0</v>
      </c>
    </row>
  </sheetData>
  <pageMargins left="0.75" right="0.75" top="1" bottom="1" header="0.5" footer="0.5"/>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Pivot_Analysis</vt:lpstr>
      <vt:lpstr>Sheet2</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Roshni Boral</cp:lastModifiedBy>
  <dcterms:created xsi:type="dcterms:W3CDTF">2026-08-07T13:33:46Z</dcterms:created>
  <dcterms:modified xsi:type="dcterms:W3CDTF">2026-08-09T07:52:24Z</dcterms:modified>
</cp:coreProperties>
</file>